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/>
  <mc:AlternateContent xmlns:mc="http://schemas.openxmlformats.org/markup-compatibility/2006">
    <mc:Choice Requires="x15">
      <x15ac:absPath xmlns:x15ac="http://schemas.microsoft.com/office/spreadsheetml/2010/11/ac" url="https://aquaticconceptgroup-my.sharepoint.com/personal/sigmund_hagehaugen_aquatiq_com/Documents/Microsoft Teams Chat Files/"/>
    </mc:Choice>
  </mc:AlternateContent>
  <xr:revisionPtr revIDLastSave="15" documentId="8_{55BA7DB4-199A-44B5-85BB-D64C3C0A366E}" xr6:coauthVersionLast="47" xr6:coauthVersionMax="47" xr10:uidLastSave="{9CE1FEBC-B4BC-4E34-A1D6-5EEB0A38C36B}"/>
  <bookViews>
    <workbookView xWindow="41535" yWindow="2565" windowWidth="29160" windowHeight="16365" firstSheet="2" activeTab="2" xr2:uid="{53E245AB-920C-416B-B91D-F2D48CA19D41}"/>
  </bookViews>
  <sheets>
    <sheet name="Sheet1" sheetId="1" r:id="rId1"/>
    <sheet name="Sheet2" sheetId="2" r:id="rId2"/>
    <sheet name="BI_Tables" sheetId="3" r:id="rId3"/>
    <sheet name="CoA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3" i="5" l="1"/>
  <c r="Q143" i="5" s="1"/>
  <c r="P142" i="5"/>
  <c r="Q142" i="5" s="1"/>
  <c r="P141" i="5"/>
  <c r="P140" i="5"/>
  <c r="Q141" i="5" s="1"/>
  <c r="P139" i="5"/>
  <c r="Q139" i="5" s="1"/>
  <c r="P138" i="5"/>
  <c r="P136" i="5"/>
  <c r="P137" i="5" s="1"/>
  <c r="P134" i="5"/>
  <c r="Q134" i="5" s="1"/>
  <c r="B134" i="5"/>
  <c r="B135" i="5" s="1"/>
  <c r="B136" i="5" s="1"/>
  <c r="B139" i="5" s="1"/>
  <c r="B140" i="5" s="1"/>
  <c r="B141" i="5" s="1"/>
  <c r="B142" i="5" s="1"/>
  <c r="B143" i="5" s="1"/>
  <c r="P133" i="5"/>
  <c r="Q133" i="5" s="1"/>
  <c r="P132" i="5"/>
  <c r="P130" i="5"/>
  <c r="P129" i="5"/>
  <c r="Q129" i="5" s="1"/>
  <c r="P128" i="5"/>
  <c r="Q128" i="5" s="1"/>
  <c r="P127" i="5"/>
  <c r="P124" i="5"/>
  <c r="Q124" i="5" s="1"/>
  <c r="P123" i="5"/>
  <c r="Q123" i="5" s="1"/>
  <c r="P122" i="5"/>
  <c r="Q122" i="5" s="1"/>
  <c r="P121" i="5"/>
  <c r="P116" i="5"/>
  <c r="P117" i="5" s="1"/>
  <c r="P115" i="5"/>
  <c r="P111" i="5"/>
  <c r="P112" i="5" s="1"/>
  <c r="P110" i="5"/>
  <c r="Q110" i="5" s="1"/>
  <c r="P109" i="5"/>
  <c r="Q109" i="5" s="1"/>
  <c r="P108" i="5"/>
  <c r="P106" i="5"/>
  <c r="Q106" i="5" s="1"/>
  <c r="P105" i="5"/>
  <c r="P101" i="5"/>
  <c r="P102" i="5" s="1"/>
  <c r="P100" i="5"/>
  <c r="Q100" i="5" s="1"/>
  <c r="P99" i="5"/>
  <c r="Q99" i="5" s="1"/>
  <c r="P98" i="5"/>
  <c r="P94" i="5"/>
  <c r="P95" i="5" s="1"/>
  <c r="P93" i="5"/>
  <c r="P89" i="5"/>
  <c r="P90" i="5" s="1"/>
  <c r="P88" i="5"/>
  <c r="P84" i="5"/>
  <c r="P85" i="5" s="1"/>
  <c r="P82" i="5"/>
  <c r="Q82" i="5" s="1"/>
  <c r="P81" i="5"/>
  <c r="Q81" i="5" s="1"/>
  <c r="P80" i="5"/>
  <c r="Q80" i="5" s="1"/>
  <c r="P79" i="5"/>
  <c r="Q79" i="5" s="1"/>
  <c r="P78" i="5"/>
  <c r="P72" i="5"/>
  <c r="Q72" i="5" s="1"/>
  <c r="P71" i="5"/>
  <c r="Q71" i="5" s="1"/>
  <c r="P70" i="5"/>
  <c r="Q70" i="5" s="1"/>
  <c r="P69" i="5"/>
  <c r="Q69" i="5" s="1"/>
  <c r="P68" i="5"/>
  <c r="P42" i="5"/>
  <c r="P43" i="5" s="1"/>
  <c r="P33" i="5"/>
  <c r="P34" i="5" s="1"/>
  <c r="P32" i="5"/>
  <c r="Q32" i="5" s="1"/>
  <c r="P31" i="5"/>
  <c r="P23" i="5"/>
  <c r="P12" i="5"/>
  <c r="P13" i="5" s="1"/>
  <c r="P11" i="5"/>
  <c r="Q11" i="5" s="1"/>
  <c r="Q10" i="5"/>
  <c r="P86" i="5" l="1"/>
  <c r="Q112" i="5"/>
  <c r="P113" i="5"/>
  <c r="Q105" i="5"/>
  <c r="P35" i="5"/>
  <c r="Q34" i="5"/>
  <c r="Q90" i="5"/>
  <c r="P91" i="5"/>
  <c r="P118" i="5"/>
  <c r="Q117" i="5"/>
  <c r="P103" i="5"/>
  <c r="P14" i="5"/>
  <c r="P96" i="5"/>
  <c r="Q95" i="5"/>
  <c r="Q138" i="5"/>
  <c r="Q130" i="5"/>
  <c r="P44" i="5"/>
  <c r="Q43" i="5"/>
  <c r="P107" i="5"/>
  <c r="Q107" i="5" s="1"/>
  <c r="Q94" i="5"/>
  <c r="Q12" i="5"/>
  <c r="Q13" i="5" s="1"/>
  <c r="Q33" i="5"/>
  <c r="Q84" i="5"/>
  <c r="Q85" i="5" s="1"/>
  <c r="P135" i="5"/>
  <c r="Q135" i="5" s="1"/>
  <c r="Q116" i="5"/>
  <c r="P73" i="5"/>
  <c r="Q136" i="5"/>
  <c r="Q137" i="5" s="1"/>
  <c r="P125" i="5"/>
  <c r="Q89" i="5"/>
  <c r="Q111" i="5"/>
  <c r="Q140" i="5"/>
  <c r="Q101" i="5"/>
  <c r="Q102" i="5" s="1"/>
  <c r="P131" i="5"/>
  <c r="P24" i="5"/>
  <c r="P114" i="5" l="1"/>
  <c r="Q113" i="5"/>
  <c r="Q73" i="5"/>
  <c r="P74" i="5"/>
  <c r="P119" i="5"/>
  <c r="Q118" i="5"/>
  <c r="P92" i="5"/>
  <c r="Q91" i="5"/>
  <c r="P97" i="5"/>
  <c r="Q96" i="5"/>
  <c r="P36" i="5"/>
  <c r="Q35" i="5"/>
  <c r="P25" i="5"/>
  <c r="Q132" i="5"/>
  <c r="Q131" i="5"/>
  <c r="P15" i="5"/>
  <c r="Q14" i="5"/>
  <c r="Q86" i="5"/>
  <c r="P87" i="5"/>
  <c r="Q103" i="5"/>
  <c r="P45" i="5"/>
  <c r="Q44" i="5"/>
  <c r="Q108" i="5"/>
  <c r="P126" i="5"/>
  <c r="Q125" i="5"/>
  <c r="P16" i="5" l="1"/>
  <c r="Q15" i="5"/>
  <c r="Q114" i="5"/>
  <c r="Q115" i="5"/>
  <c r="P26" i="5"/>
  <c r="Q126" i="5"/>
  <c r="Q127" i="5"/>
  <c r="Q36" i="5"/>
  <c r="P37" i="5"/>
  <c r="Q97" i="5"/>
  <c r="Q98" i="5"/>
  <c r="P46" i="5"/>
  <c r="Q45" i="5"/>
  <c r="Q92" i="5"/>
  <c r="Q93" i="5"/>
  <c r="Q87" i="5"/>
  <c r="Q88" i="5"/>
  <c r="Q119" i="5"/>
  <c r="P120" i="5"/>
  <c r="P75" i="5"/>
  <c r="Q74" i="5"/>
  <c r="Q46" i="5" l="1"/>
  <c r="P47" i="5"/>
  <c r="P38" i="5"/>
  <c r="Q37" i="5"/>
  <c r="Q75" i="5"/>
  <c r="P76" i="5"/>
  <c r="Q120" i="5"/>
  <c r="Q121" i="5"/>
  <c r="P27" i="5"/>
  <c r="Q26" i="5"/>
  <c r="P17" i="5"/>
  <c r="Q16" i="5"/>
  <c r="P18" i="5" l="1"/>
  <c r="Q17" i="5"/>
  <c r="P28" i="5"/>
  <c r="Q27" i="5"/>
  <c r="Q76" i="5"/>
  <c r="P77" i="5"/>
  <c r="P39" i="5"/>
  <c r="Q38" i="5"/>
  <c r="P48" i="5"/>
  <c r="Q47" i="5"/>
  <c r="Q39" i="5" l="1"/>
  <c r="P40" i="5"/>
  <c r="P29" i="5"/>
  <c r="Q28" i="5"/>
  <c r="P49" i="5"/>
  <c r="Q48" i="5"/>
  <c r="Q77" i="5"/>
  <c r="Q78" i="5"/>
  <c r="Q18" i="5"/>
  <c r="P19" i="5"/>
  <c r="Q19" i="5" l="1"/>
  <c r="P20" i="5"/>
  <c r="Q49" i="5"/>
  <c r="P50" i="5"/>
  <c r="Q40" i="5"/>
  <c r="P41" i="5"/>
  <c r="Q29" i="5"/>
  <c r="P30" i="5"/>
  <c r="Q30" i="5" l="1"/>
  <c r="Q31" i="5"/>
  <c r="Q41" i="5"/>
  <c r="Q42" i="5"/>
  <c r="P51" i="5"/>
  <c r="Q50" i="5"/>
  <c r="P21" i="5"/>
  <c r="Q20" i="5"/>
  <c r="Q21" i="5" l="1"/>
  <c r="P22" i="5"/>
  <c r="Q51" i="5"/>
  <c r="P52" i="5"/>
  <c r="P53" i="5" l="1"/>
  <c r="Q52" i="5"/>
  <c r="Q22" i="5"/>
  <c r="Q23" i="5"/>
  <c r="Q24" i="5" s="1"/>
  <c r="Q25" i="5" s="1"/>
  <c r="Q53" i="5" l="1"/>
  <c r="P54" i="5"/>
  <c r="P57" i="5" l="1"/>
  <c r="P55" i="5"/>
  <c r="Q54" i="5"/>
  <c r="Q55" i="5" l="1"/>
  <c r="Q57" i="5"/>
  <c r="P58" i="5"/>
  <c r="P59" i="5" l="1"/>
  <c r="Q58" i="5"/>
  <c r="P60" i="5" l="1"/>
  <c r="Q59" i="5"/>
  <c r="P61" i="5" l="1"/>
  <c r="Q60" i="5"/>
  <c r="Q61" i="5" l="1"/>
  <c r="P62" i="5"/>
  <c r="P63" i="5" l="1"/>
  <c r="Q62" i="5"/>
  <c r="P64" i="5" l="1"/>
  <c r="Q63" i="5"/>
  <c r="P65" i="5" l="1"/>
  <c r="Q64" i="5"/>
  <c r="Q65" i="5" l="1"/>
  <c r="P66" i="5"/>
  <c r="P67" i="5" l="1"/>
  <c r="Q66" i="5"/>
  <c r="Q67" i="5" l="1"/>
  <c r="Q68" i="5"/>
  <c r="H25" i="2" l="1"/>
  <c r="H24" i="2"/>
  <c r="H22" i="2"/>
  <c r="H21" i="2"/>
  <c r="H20" i="2"/>
  <c r="H19" i="2"/>
  <c r="H13" i="2"/>
  <c r="H12" i="2"/>
  <c r="H8" i="2"/>
  <c r="H9" i="2"/>
  <c r="H10" i="2"/>
  <c r="H7" i="2"/>
</calcChain>
</file>

<file path=xl/sharedStrings.xml><?xml version="1.0" encoding="utf-8"?>
<sst xmlns="http://schemas.openxmlformats.org/spreadsheetml/2006/main" count="1102" uniqueCount="269">
  <si>
    <t>Subaccount</t>
  </si>
  <si>
    <t>Group</t>
  </si>
  <si>
    <t>BU</t>
  </si>
  <si>
    <t>Enitity</t>
  </si>
  <si>
    <t>Coa</t>
  </si>
  <si>
    <t>v</t>
  </si>
  <si>
    <t>Segment 1</t>
  </si>
  <si>
    <t>Segment2</t>
  </si>
  <si>
    <t>Segment 3</t>
  </si>
  <si>
    <t>Aquatiq</t>
  </si>
  <si>
    <t>AHS</t>
  </si>
  <si>
    <t>Previously</t>
  </si>
  <si>
    <t>Entity</t>
  </si>
  <si>
    <t>Intercompany</t>
  </si>
  <si>
    <t>Department</t>
  </si>
  <si>
    <t>Project</t>
  </si>
  <si>
    <t>Subaccount number</t>
  </si>
  <si>
    <t>SubaccountID</t>
  </si>
  <si>
    <t>Achem</t>
  </si>
  <si>
    <t>00-</t>
  </si>
  <si>
    <t>0000</t>
  </si>
  <si>
    <t>Aquatiq Gorup</t>
  </si>
  <si>
    <t>APG</t>
  </si>
  <si>
    <t>ProjctID</t>
  </si>
  <si>
    <t>Unique Tenant ID</t>
  </si>
  <si>
    <t>New</t>
  </si>
  <si>
    <t>CompanyID</t>
  </si>
  <si>
    <t>CompanyName</t>
  </si>
  <si>
    <t>Aquatiq Group AS</t>
  </si>
  <si>
    <t>Aquatiq Chemistry AS</t>
  </si>
  <si>
    <t>Aquatiq Hygiene Systems AS</t>
  </si>
  <si>
    <t>BI_FinanceTable</t>
  </si>
  <si>
    <t>Start</t>
  </si>
  <si>
    <t>Year, Quarter, month, day</t>
  </si>
  <si>
    <t>Financial Statement Line Item</t>
  </si>
  <si>
    <t>Company Logic</t>
  </si>
  <si>
    <t>Not Complete</t>
  </si>
  <si>
    <t>(New)</t>
  </si>
  <si>
    <t>Profit &amp; loss / Balance Sheet</t>
  </si>
  <si>
    <t>Local</t>
  </si>
  <si>
    <t>Global Currency</t>
  </si>
  <si>
    <t>Number &amp; Name</t>
  </si>
  <si>
    <t>Name</t>
  </si>
  <si>
    <t>EBITDA</t>
  </si>
  <si>
    <t>Cost of goods sold (example)</t>
  </si>
  <si>
    <t>Segment1</t>
  </si>
  <si>
    <t>From Date</t>
  </si>
  <si>
    <t>To date</t>
  </si>
  <si>
    <t>Segment 2</t>
  </si>
  <si>
    <t>Belongs to BU</t>
  </si>
  <si>
    <t>Date</t>
  </si>
  <si>
    <t xml:space="preserve">Accounts </t>
  </si>
  <si>
    <t>FSLI1</t>
  </si>
  <si>
    <t>FSLI2</t>
  </si>
  <si>
    <t>FSLI3</t>
  </si>
  <si>
    <t>Amount</t>
  </si>
  <si>
    <t>Amount (NOK)</t>
  </si>
  <si>
    <t>Customer</t>
  </si>
  <si>
    <t>Supplier</t>
  </si>
  <si>
    <t>Department code</t>
  </si>
  <si>
    <t>IC</t>
  </si>
  <si>
    <t>01.01.2023</t>
  </si>
  <si>
    <t>31.12.2025</t>
  </si>
  <si>
    <t>Chemistry</t>
  </si>
  <si>
    <t>Hygiene Systems</t>
  </si>
  <si>
    <t>AFF</t>
  </si>
  <si>
    <t>Sense</t>
  </si>
  <si>
    <t>FT&amp;A</t>
  </si>
  <si>
    <t>Consult</t>
  </si>
  <si>
    <t>BI_SalesOrder</t>
  </si>
  <si>
    <t>Inventory ID &amp; Inventory Description</t>
  </si>
  <si>
    <t>PriceClassID &amp; PriceClassDescription</t>
  </si>
  <si>
    <t>Unit level</t>
  </si>
  <si>
    <t>01.01.2026</t>
  </si>
  <si>
    <t>ProductNUmebr</t>
  </si>
  <si>
    <t>Product Category</t>
  </si>
  <si>
    <t>PriceClass</t>
  </si>
  <si>
    <t>Quantity</t>
  </si>
  <si>
    <t>OderTYpe</t>
  </si>
  <si>
    <t>SalesPerson</t>
  </si>
  <si>
    <t>Status</t>
  </si>
  <si>
    <t>Amount price</t>
  </si>
  <si>
    <t xml:space="preserve">Amount cost price </t>
  </si>
  <si>
    <t>Chart of Account - Group Structure</t>
  </si>
  <si>
    <t>All accounts in local erp shall be mapped to this structure</t>
  </si>
  <si>
    <t>All accounts in local ERP needs to be matched with this column</t>
  </si>
  <si>
    <t>Sheet</t>
  </si>
  <si>
    <t>#</t>
  </si>
  <si>
    <t>Calculated Field</t>
  </si>
  <si>
    <t>FSLI 1</t>
  </si>
  <si>
    <t>Net income</t>
  </si>
  <si>
    <t>CF1</t>
  </si>
  <si>
    <t>CF2</t>
  </si>
  <si>
    <t>CF3</t>
  </si>
  <si>
    <t>Nwc</t>
  </si>
  <si>
    <t>Capex</t>
  </si>
  <si>
    <t>Account code 1</t>
  </si>
  <si>
    <t>Account code 2</t>
  </si>
  <si>
    <t>Account code 3</t>
  </si>
  <si>
    <t>=+IF(O3=O2,IF(E3=E2,P2,P2+100),O3)</t>
  </si>
  <si>
    <t>=+IF(P3=P2,IF(F3=F2,Q2,Q2+10),P3)</t>
  </si>
  <si>
    <t>P&amp;L</t>
  </si>
  <si>
    <t>Operating income and operating expenses</t>
  </si>
  <si>
    <t/>
  </si>
  <si>
    <t>Operating income</t>
  </si>
  <si>
    <t>Revenue</t>
  </si>
  <si>
    <t>x</t>
  </si>
  <si>
    <t xml:space="preserve">Operating </t>
  </si>
  <si>
    <t>Product sales</t>
  </si>
  <si>
    <t xml:space="preserve">Service </t>
  </si>
  <si>
    <t>Software</t>
  </si>
  <si>
    <t>Consult and hours</t>
  </si>
  <si>
    <t>Other</t>
  </si>
  <si>
    <t>Other operating income</t>
  </si>
  <si>
    <t>Rent</t>
  </si>
  <si>
    <t>Cost of goods sold</t>
  </si>
  <si>
    <t>Cogs</t>
  </si>
  <si>
    <t>Cost of Goods</t>
  </si>
  <si>
    <t>Writedowns</t>
  </si>
  <si>
    <t>Other cogs</t>
  </si>
  <si>
    <t>Transport and logistics</t>
  </si>
  <si>
    <t>Transport</t>
  </si>
  <si>
    <t>Warehouse cots</t>
  </si>
  <si>
    <t>Other logistics</t>
  </si>
  <si>
    <t>External hire</t>
  </si>
  <si>
    <t>Contribution / Gross profit</t>
  </si>
  <si>
    <t>R&amp;D projects</t>
  </si>
  <si>
    <t>R&amp;D</t>
  </si>
  <si>
    <t>Personnell expenses</t>
  </si>
  <si>
    <t>Salary</t>
  </si>
  <si>
    <t>Overtime</t>
  </si>
  <si>
    <t>Social Fee</t>
  </si>
  <si>
    <t>Vacation</t>
  </si>
  <si>
    <t>Other benefits</t>
  </si>
  <si>
    <t>Pension</t>
  </si>
  <si>
    <t>Other personell</t>
  </si>
  <si>
    <t>Gifts</t>
  </si>
  <si>
    <t>Courses and Education</t>
  </si>
  <si>
    <t>Other operating expenses</t>
  </si>
  <si>
    <t>Travel and accomodation</t>
  </si>
  <si>
    <t>Marketing</t>
  </si>
  <si>
    <t>Exhibitions</t>
  </si>
  <si>
    <t>Rental</t>
  </si>
  <si>
    <t>External rent</t>
  </si>
  <si>
    <t>Group Costs</t>
  </si>
  <si>
    <t>Internal house rental</t>
  </si>
  <si>
    <t>Group Fee</t>
  </si>
  <si>
    <t>IT</t>
  </si>
  <si>
    <t>Licenses</t>
  </si>
  <si>
    <t>Hardware</t>
  </si>
  <si>
    <t>Insurance</t>
  </si>
  <si>
    <t>Operating expenses</t>
  </si>
  <si>
    <t>Clothing</t>
  </si>
  <si>
    <t>Equipment and tools</t>
  </si>
  <si>
    <t>External services</t>
  </si>
  <si>
    <t>Auditors</t>
  </si>
  <si>
    <t>Legal</t>
  </si>
  <si>
    <t>Accounting</t>
  </si>
  <si>
    <t>Maintenance</t>
  </si>
  <si>
    <t>Equipment</t>
  </si>
  <si>
    <t>Properties</t>
  </si>
  <si>
    <t>Security</t>
  </si>
  <si>
    <t>Electricity</t>
  </si>
  <si>
    <t xml:space="preserve">Other </t>
  </si>
  <si>
    <t>D&amp;A</t>
  </si>
  <si>
    <t>Depreciation</t>
  </si>
  <si>
    <t>EBIT</t>
  </si>
  <si>
    <t>Write down shares</t>
  </si>
  <si>
    <t>Writedown</t>
  </si>
  <si>
    <t>Net financial income and expenses</t>
  </si>
  <si>
    <t>Financial income</t>
  </si>
  <si>
    <t>Interest income</t>
  </si>
  <si>
    <t>Finance</t>
  </si>
  <si>
    <t>Agio</t>
  </si>
  <si>
    <t>Other financial income</t>
  </si>
  <si>
    <t>Financial expenses</t>
  </si>
  <si>
    <t>Interest expenses</t>
  </si>
  <si>
    <t>Disagio</t>
  </si>
  <si>
    <t>Other financial expenses</t>
  </si>
  <si>
    <t>Net income before tax</t>
  </si>
  <si>
    <t>Tax on ordinary result</t>
  </si>
  <si>
    <t>Tax</t>
  </si>
  <si>
    <t>Net income after tax</t>
  </si>
  <si>
    <t>Currency change to Equity</t>
  </si>
  <si>
    <t>Net Income</t>
  </si>
  <si>
    <t>BS</t>
  </si>
  <si>
    <t>Assets</t>
  </si>
  <si>
    <t>Fixed Assets</t>
  </si>
  <si>
    <t>Balance Sheet</t>
  </si>
  <si>
    <t>Intangible assets</t>
  </si>
  <si>
    <t>Deferred tax asset</t>
  </si>
  <si>
    <t>Goodwill</t>
  </si>
  <si>
    <t>Investing</t>
  </si>
  <si>
    <t>Total intangible assets</t>
  </si>
  <si>
    <t>Ship and other floating equipment</t>
  </si>
  <si>
    <t>Plant and Equupment</t>
  </si>
  <si>
    <t>Buildings and land</t>
  </si>
  <si>
    <t>Equipment and other movables</t>
  </si>
  <si>
    <t>Total tangible fixed assets</t>
  </si>
  <si>
    <t>Investments in subsidiaries</t>
  </si>
  <si>
    <t>Investment in Joint Ventures</t>
  </si>
  <si>
    <t>Intercompany loan</t>
  </si>
  <si>
    <t>Other long term financial assets</t>
  </si>
  <si>
    <t>Total financial fixed assets</t>
  </si>
  <si>
    <t>Total fixed assets</t>
  </si>
  <si>
    <t>Inventory</t>
  </si>
  <si>
    <t>Inventories</t>
  </si>
  <si>
    <t>Operating</t>
  </si>
  <si>
    <t>Working capital</t>
  </si>
  <si>
    <t>Receivables</t>
  </si>
  <si>
    <t>Accounts receivables</t>
  </si>
  <si>
    <t>Group Accounts receivable</t>
  </si>
  <si>
    <t>Other receivables</t>
  </si>
  <si>
    <t>Other current</t>
  </si>
  <si>
    <t>Other accruals</t>
  </si>
  <si>
    <t>Investments</t>
  </si>
  <si>
    <t>Cash</t>
  </si>
  <si>
    <t>Cash and bank deposits</t>
  </si>
  <si>
    <t>Net change</t>
  </si>
  <si>
    <t>Cash - restricted</t>
  </si>
  <si>
    <t>Total current assets</t>
  </si>
  <si>
    <t>Total assets</t>
  </si>
  <si>
    <t>Equity and liabilities</t>
  </si>
  <si>
    <t>Equity</t>
  </si>
  <si>
    <t>Paid in capital</t>
  </si>
  <si>
    <t>Share capital</t>
  </si>
  <si>
    <t>Financing</t>
  </si>
  <si>
    <t>Share premium reserve</t>
  </si>
  <si>
    <t>Own Shares</t>
  </si>
  <si>
    <t>CTA this period (Paid in Equity)</t>
  </si>
  <si>
    <t>Currency effect</t>
  </si>
  <si>
    <t>Total paid-in equity</t>
  </si>
  <si>
    <t>Retained</t>
  </si>
  <si>
    <t>CTA this period (PnL and BS)</t>
  </si>
  <si>
    <t>Retained Earnings</t>
  </si>
  <si>
    <t>Dividend (incl withholding tax for chile)</t>
  </si>
  <si>
    <t>Dividend</t>
  </si>
  <si>
    <t>Other transactions - unidentifised</t>
  </si>
  <si>
    <t>Profitt/loss for this period with % tax rate</t>
  </si>
  <si>
    <t>Total retained earnings</t>
  </si>
  <si>
    <t>Calculation differences</t>
  </si>
  <si>
    <t>Total equity</t>
  </si>
  <si>
    <t>Liabilities</t>
  </si>
  <si>
    <t>Tax on P/L this period from 01.01.2024 to this period</t>
  </si>
  <si>
    <t>Tax on P/L this period</t>
  </si>
  <si>
    <t>Deffered tax</t>
  </si>
  <si>
    <t>Total provisions tax</t>
  </si>
  <si>
    <t>Total Equity and tax</t>
  </si>
  <si>
    <t>Long term debt</t>
  </si>
  <si>
    <t>Liabilities to financial institutions</t>
  </si>
  <si>
    <t>External</t>
  </si>
  <si>
    <t>Internal</t>
  </si>
  <si>
    <t>Other long term liabilities</t>
  </si>
  <si>
    <t>Total long-term liabilities</t>
  </si>
  <si>
    <t>Short term liabilities</t>
  </si>
  <si>
    <t>ICP structure</t>
  </si>
  <si>
    <t>ICP</t>
  </si>
  <si>
    <t>Tax Payable</t>
  </si>
  <si>
    <t>Short term liabilities to financial institutions</t>
  </si>
  <si>
    <t>Accounts payable</t>
  </si>
  <si>
    <t>Payable</t>
  </si>
  <si>
    <t>Group Accounts payable</t>
  </si>
  <si>
    <t>Dividend (ngaap)</t>
  </si>
  <si>
    <t>Tax and public duties payable</t>
  </si>
  <si>
    <t>Public duties</t>
  </si>
  <si>
    <t>Other short term liabilities</t>
  </si>
  <si>
    <t>Total short term liabilities</t>
  </si>
  <si>
    <t>Total liabilities</t>
  </si>
  <si>
    <t>Total equity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</si>
</sst>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/>
    <xf numFmtId="0" fontId="0" fillId="0" borderId="0" xfId="0" quotePrefix="1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0" fillId="2" borderId="0" xfId="0" quotePrefix="1" applyFill="1"/>
    <xf numFmtId="0" fontId="2" fillId="3" borderId="0" xfId="0" applyFont="1" applyFill="1"/>
    <xf numFmtId="0" fontId="0" fillId="3" borderId="0" xfId="0" applyFill="1"/>
  </cellXfs>
  <cellStyles count="2">
    <cellStyle name="K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F41DE-CBBF-4427-8210-DBAF36ADD406}">
  <dimension ref="C6:F9"/>
  <sheetViews>
    <sheetView workbookViewId="0">
      <selection activeCell="B4" sqref="B4:H19"/>
    </sheetView>
  </sheetViews>
  <sheetFormatPr defaultRowHeight="15"/>
  <cols>
    <col min="3" max="3" width="11" bestFit="1" customWidth="1"/>
    <col min="4" max="4" width="16.85546875" bestFit="1" customWidth="1"/>
    <col min="6" max="6" width="13.28515625" bestFit="1" customWidth="1"/>
  </cols>
  <sheetData>
    <row r="6" spans="3:6">
      <c r="D6" s="1"/>
      <c r="F6" s="1"/>
    </row>
    <row r="7" spans="3:6">
      <c r="D7" s="2"/>
      <c r="F7" s="1"/>
    </row>
    <row r="9" spans="3:6">
      <c r="C9" s="3"/>
      <c r="D9" s="4"/>
      <c r="E9" s="3"/>
      <c r="F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FF5A-27BE-41F7-ABB3-B744EA8F15F4}">
  <dimension ref="C4:T25"/>
  <sheetViews>
    <sheetView workbookViewId="0">
      <selection activeCell="T1" sqref="T1:T1048576"/>
    </sheetView>
  </sheetViews>
  <sheetFormatPr defaultRowHeight="15"/>
  <cols>
    <col min="3" max="3" width="10" bestFit="1" customWidth="1"/>
    <col min="5" max="5" width="13.28515625" bestFit="1" customWidth="1"/>
    <col min="6" max="6" width="11.28515625" bestFit="1" customWidth="1"/>
    <col min="8" max="8" width="19" bestFit="1" customWidth="1"/>
    <col min="9" max="9" width="13.42578125" bestFit="1" customWidth="1"/>
    <col min="14" max="14" width="16.140625" bestFit="1" customWidth="1"/>
    <col min="15" max="15" width="23.5703125" customWidth="1"/>
  </cols>
  <sheetData>
    <row r="4" spans="3:20">
      <c r="E4" t="s">
        <v>0</v>
      </c>
      <c r="Q4" t="s">
        <v>1</v>
      </c>
      <c r="R4" t="s">
        <v>2</v>
      </c>
      <c r="S4" t="s">
        <v>3</v>
      </c>
      <c r="T4" t="s">
        <v>4</v>
      </c>
    </row>
    <row r="5" spans="3:20">
      <c r="C5" t="s">
        <v>5</v>
      </c>
      <c r="E5" t="s">
        <v>6</v>
      </c>
      <c r="F5" t="s">
        <v>7</v>
      </c>
      <c r="G5" t="s">
        <v>8</v>
      </c>
      <c r="Q5" t="s">
        <v>9</v>
      </c>
      <c r="S5" t="s">
        <v>10</v>
      </c>
    </row>
    <row r="6" spans="3:20"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S6" t="s">
        <v>18</v>
      </c>
    </row>
    <row r="7" spans="3:20">
      <c r="D7">
        <v>1661</v>
      </c>
      <c r="E7" s="5" t="s">
        <v>19</v>
      </c>
      <c r="F7" s="5" t="s">
        <v>19</v>
      </c>
      <c r="G7" s="5" t="s">
        <v>20</v>
      </c>
      <c r="H7" t="str">
        <f>E7&amp;F7&amp;G7</f>
        <v>00-00-0000</v>
      </c>
      <c r="I7">
        <v>1</v>
      </c>
      <c r="S7" t="s">
        <v>21</v>
      </c>
    </row>
    <row r="8" spans="3:20">
      <c r="D8">
        <v>1662</v>
      </c>
      <c r="E8" s="5" t="s">
        <v>19</v>
      </c>
      <c r="F8" s="5" t="s">
        <v>19</v>
      </c>
      <c r="G8" s="5" t="s">
        <v>20</v>
      </c>
      <c r="H8" t="str">
        <f t="shared" ref="H8:H10" si="0">E8&amp;F8&amp;G8</f>
        <v>00-00-0000</v>
      </c>
      <c r="I8">
        <v>2</v>
      </c>
    </row>
    <row r="9" spans="3:20">
      <c r="D9">
        <v>1662</v>
      </c>
      <c r="E9" s="5" t="s">
        <v>19</v>
      </c>
      <c r="F9" s="5" t="s">
        <v>19</v>
      </c>
      <c r="G9" s="5" t="s">
        <v>20</v>
      </c>
      <c r="H9" t="str">
        <f t="shared" si="0"/>
        <v>00-00-0000</v>
      </c>
      <c r="I9">
        <v>3</v>
      </c>
    </row>
    <row r="10" spans="3:20">
      <c r="H10" t="str">
        <f t="shared" si="0"/>
        <v/>
      </c>
      <c r="Q10" t="s">
        <v>22</v>
      </c>
    </row>
    <row r="11" spans="3:20">
      <c r="E11" t="s">
        <v>13</v>
      </c>
      <c r="F11" t="s">
        <v>14</v>
      </c>
      <c r="H11" t="s">
        <v>16</v>
      </c>
    </row>
    <row r="12" spans="3:20">
      <c r="D12">
        <v>1669</v>
      </c>
      <c r="E12" s="5" t="s">
        <v>19</v>
      </c>
      <c r="F12" s="5" t="s">
        <v>19</v>
      </c>
      <c r="G12" s="5"/>
      <c r="H12" t="str">
        <f>E12&amp;F12&amp;G12</f>
        <v>00-00-</v>
      </c>
    </row>
    <row r="13" spans="3:20">
      <c r="D13">
        <v>1669</v>
      </c>
      <c r="E13" s="5" t="s">
        <v>19</v>
      </c>
      <c r="F13" s="5" t="s">
        <v>19</v>
      </c>
      <c r="G13" s="5"/>
      <c r="H13" t="str">
        <f t="shared" ref="H13" si="1">E13&amp;F13&amp;G13</f>
        <v>00-00-</v>
      </c>
    </row>
    <row r="16" spans="3:20">
      <c r="E16" t="s">
        <v>0</v>
      </c>
      <c r="K16" t="s">
        <v>23</v>
      </c>
    </row>
    <row r="17" spans="3:17">
      <c r="C17" t="s">
        <v>5</v>
      </c>
      <c r="E17" t="s">
        <v>6</v>
      </c>
      <c r="F17" t="s">
        <v>7</v>
      </c>
      <c r="G17" t="s">
        <v>8</v>
      </c>
      <c r="N17" t="s">
        <v>24</v>
      </c>
      <c r="Q17" t="s">
        <v>25</v>
      </c>
    </row>
    <row r="18" spans="3:17">
      <c r="C18" t="s">
        <v>11</v>
      </c>
      <c r="D18" t="s">
        <v>12</v>
      </c>
      <c r="E18" t="s">
        <v>13</v>
      </c>
      <c r="F18" t="s">
        <v>2</v>
      </c>
      <c r="G18" t="s">
        <v>14</v>
      </c>
      <c r="H18" t="s">
        <v>16</v>
      </c>
      <c r="I18" t="s">
        <v>17</v>
      </c>
      <c r="N18" t="s">
        <v>26</v>
      </c>
      <c r="O18" t="s">
        <v>27</v>
      </c>
    </row>
    <row r="19" spans="3:17">
      <c r="D19">
        <v>1661</v>
      </c>
      <c r="E19" s="5" t="s">
        <v>19</v>
      </c>
      <c r="F19" s="5" t="s">
        <v>19</v>
      </c>
      <c r="G19" s="5" t="s">
        <v>20</v>
      </c>
      <c r="H19" t="str">
        <f>E19&amp;F19&amp;G19</f>
        <v>00-00-0000</v>
      </c>
      <c r="I19">
        <v>1</v>
      </c>
      <c r="N19">
        <v>1661</v>
      </c>
      <c r="O19" t="s">
        <v>28</v>
      </c>
    </row>
    <row r="20" spans="3:17">
      <c r="D20">
        <v>1662</v>
      </c>
      <c r="E20" s="5" t="s">
        <v>19</v>
      </c>
      <c r="F20" s="5" t="s">
        <v>19</v>
      </c>
      <c r="G20" s="5" t="s">
        <v>20</v>
      </c>
      <c r="H20" t="str">
        <f t="shared" ref="H20:H22" si="2">E20&amp;F20&amp;G20</f>
        <v>00-00-0000</v>
      </c>
      <c r="I20">
        <v>2</v>
      </c>
      <c r="N20">
        <v>1662</v>
      </c>
    </row>
    <row r="21" spans="3:17">
      <c r="D21">
        <v>1662</v>
      </c>
      <c r="E21" s="5" t="s">
        <v>19</v>
      </c>
      <c r="F21" s="5" t="s">
        <v>19</v>
      </c>
      <c r="G21" s="5" t="s">
        <v>20</v>
      </c>
      <c r="H21" t="str">
        <f t="shared" si="2"/>
        <v>00-00-0000</v>
      </c>
      <c r="I21">
        <v>3</v>
      </c>
      <c r="N21">
        <v>1663</v>
      </c>
    </row>
    <row r="22" spans="3:17">
      <c r="H22" t="str">
        <f t="shared" si="2"/>
        <v/>
      </c>
      <c r="N22">
        <v>1664</v>
      </c>
    </row>
    <row r="23" spans="3:17">
      <c r="E23" t="s">
        <v>13</v>
      </c>
      <c r="F23" t="s">
        <v>2</v>
      </c>
      <c r="G23" t="s">
        <v>14</v>
      </c>
      <c r="H23" t="s">
        <v>16</v>
      </c>
      <c r="N23">
        <v>1665</v>
      </c>
      <c r="O23" t="s">
        <v>29</v>
      </c>
    </row>
    <row r="24" spans="3:17">
      <c r="D24">
        <v>1669</v>
      </c>
      <c r="E24" s="5" t="s">
        <v>19</v>
      </c>
      <c r="F24" s="5" t="s">
        <v>19</v>
      </c>
      <c r="G24" s="5"/>
      <c r="H24" t="str">
        <f>E24&amp;F24&amp;G24</f>
        <v>00-00-</v>
      </c>
      <c r="N24">
        <v>1666</v>
      </c>
      <c r="O24" t="s">
        <v>30</v>
      </c>
    </row>
    <row r="25" spans="3:17">
      <c r="D25">
        <v>1669</v>
      </c>
      <c r="E25" s="5" t="s">
        <v>19</v>
      </c>
      <c r="F25" s="5" t="s">
        <v>19</v>
      </c>
      <c r="G25" s="5"/>
      <c r="H25" t="str">
        <f t="shared" ref="H25" si="3">E25&amp;F25&amp;G25</f>
        <v>00-00-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A59D0-5DD7-47F4-8F33-4A1102A5E977}">
  <dimension ref="C1:AB18"/>
  <sheetViews>
    <sheetView tabSelected="1" topLeftCell="I1" workbookViewId="0">
      <selection activeCell="X9" sqref="X9"/>
    </sheetView>
  </sheetViews>
  <sheetFormatPr defaultRowHeight="15"/>
  <cols>
    <col min="3" max="3" width="14.42578125" bestFit="1" customWidth="1"/>
    <col min="4" max="4" width="22.5703125" customWidth="1"/>
    <col min="6" max="6" width="14" customWidth="1"/>
    <col min="7" max="7" width="15.5703125" bestFit="1" customWidth="1"/>
    <col min="11" max="18" width="12.140625" customWidth="1"/>
    <col min="19" max="19" width="21" bestFit="1" customWidth="1"/>
    <col min="20" max="20" width="15.7109375" customWidth="1"/>
    <col min="22" max="22" width="11.140625" customWidth="1"/>
    <col min="23" max="23" width="28.28515625" customWidth="1"/>
    <col min="24" max="24" width="14.5703125" customWidth="1"/>
  </cols>
  <sheetData>
    <row r="1" spans="3:28">
      <c r="K1" s="11" t="s">
        <v>31</v>
      </c>
      <c r="L1" s="12"/>
      <c r="M1" s="12"/>
      <c r="N1" t="s">
        <v>32</v>
      </c>
    </row>
    <row r="2" spans="3:28">
      <c r="K2" t="s">
        <v>33</v>
      </c>
      <c r="P2" t="s">
        <v>34</v>
      </c>
    </row>
    <row r="3" spans="3:28">
      <c r="C3" t="s">
        <v>35</v>
      </c>
      <c r="D3" s="6" t="s">
        <v>36</v>
      </c>
      <c r="M3" t="s">
        <v>37</v>
      </c>
      <c r="N3" t="s">
        <v>37</v>
      </c>
      <c r="P3" t="s">
        <v>38</v>
      </c>
      <c r="S3" t="s">
        <v>39</v>
      </c>
      <c r="T3" t="s">
        <v>40</v>
      </c>
      <c r="U3" t="s">
        <v>41</v>
      </c>
      <c r="V3" t="s">
        <v>41</v>
      </c>
      <c r="W3" t="s">
        <v>42</v>
      </c>
      <c r="X3" t="s">
        <v>41</v>
      </c>
      <c r="Y3" t="s">
        <v>41</v>
      </c>
    </row>
    <row r="4" spans="3:28">
      <c r="M4" t="s">
        <v>7</v>
      </c>
      <c r="Q4" t="s">
        <v>43</v>
      </c>
      <c r="R4" t="s">
        <v>44</v>
      </c>
      <c r="W4" t="s">
        <v>8</v>
      </c>
      <c r="X4" t="s">
        <v>45</v>
      </c>
    </row>
    <row r="5" spans="3:28">
      <c r="C5" t="s">
        <v>46</v>
      </c>
      <c r="D5" t="s">
        <v>47</v>
      </c>
      <c r="E5" t="s">
        <v>12</v>
      </c>
      <c r="F5" t="s">
        <v>48</v>
      </c>
      <c r="G5" t="s">
        <v>49</v>
      </c>
      <c r="H5" t="s">
        <v>2</v>
      </c>
      <c r="K5" s="6" t="s">
        <v>50</v>
      </c>
      <c r="L5" s="6" t="s">
        <v>12</v>
      </c>
      <c r="M5" s="6" t="s">
        <v>2</v>
      </c>
      <c r="N5" s="6" t="s">
        <v>1</v>
      </c>
      <c r="O5" s="6" t="s">
        <v>51</v>
      </c>
      <c r="P5" s="6" t="s">
        <v>52</v>
      </c>
      <c r="Q5" s="6" t="s">
        <v>53</v>
      </c>
      <c r="R5" s="6" t="s">
        <v>54</v>
      </c>
      <c r="S5" s="6" t="s">
        <v>55</v>
      </c>
      <c r="T5" s="6" t="s">
        <v>56</v>
      </c>
      <c r="U5" s="6" t="s">
        <v>57</v>
      </c>
      <c r="V5" s="6" t="s">
        <v>58</v>
      </c>
      <c r="W5" s="6" t="s">
        <v>59</v>
      </c>
      <c r="X5" s="6" t="s">
        <v>60</v>
      </c>
      <c r="Y5" s="6" t="s">
        <v>15</v>
      </c>
    </row>
    <row r="6" spans="3:28">
      <c r="C6" t="s">
        <v>61</v>
      </c>
      <c r="D6" t="s">
        <v>62</v>
      </c>
      <c r="E6" t="s">
        <v>18</v>
      </c>
      <c r="G6" t="s">
        <v>63</v>
      </c>
      <c r="H6">
        <v>1</v>
      </c>
    </row>
    <row r="7" spans="3:28">
      <c r="C7" t="s">
        <v>61</v>
      </c>
      <c r="D7" t="s">
        <v>62</v>
      </c>
      <c r="E7" t="s">
        <v>10</v>
      </c>
      <c r="G7" t="s">
        <v>64</v>
      </c>
      <c r="H7">
        <v>2</v>
      </c>
    </row>
    <row r="8" spans="3:28">
      <c r="C8" t="s">
        <v>61</v>
      </c>
      <c r="D8" t="s">
        <v>62</v>
      </c>
      <c r="E8" t="s">
        <v>65</v>
      </c>
      <c r="G8" t="s">
        <v>64</v>
      </c>
      <c r="H8">
        <v>2</v>
      </c>
    </row>
    <row r="9" spans="3:28">
      <c r="C9" t="s">
        <v>61</v>
      </c>
      <c r="D9" t="s">
        <v>62</v>
      </c>
      <c r="E9" t="s">
        <v>66</v>
      </c>
      <c r="G9" t="s">
        <v>67</v>
      </c>
      <c r="H9">
        <v>4</v>
      </c>
    </row>
    <row r="10" spans="3:28">
      <c r="C10" t="s">
        <v>61</v>
      </c>
      <c r="D10" t="s">
        <v>62</v>
      </c>
      <c r="E10" t="s">
        <v>68</v>
      </c>
      <c r="G10" t="s">
        <v>68</v>
      </c>
      <c r="H10">
        <v>3</v>
      </c>
      <c r="K10" s="11" t="s">
        <v>69</v>
      </c>
      <c r="L10" s="12"/>
      <c r="M10" s="12"/>
      <c r="N10" t="s">
        <v>32</v>
      </c>
    </row>
    <row r="11" spans="3:28">
      <c r="K11" t="s">
        <v>33</v>
      </c>
    </row>
    <row r="12" spans="3:28">
      <c r="M12" t="s">
        <v>37</v>
      </c>
      <c r="N12" t="s">
        <v>37</v>
      </c>
      <c r="O12" t="s">
        <v>70</v>
      </c>
      <c r="Q12" t="s">
        <v>71</v>
      </c>
      <c r="V12" t="s">
        <v>72</v>
      </c>
      <c r="W12" t="s">
        <v>41</v>
      </c>
      <c r="X12" t="s">
        <v>41</v>
      </c>
      <c r="Y12" t="s">
        <v>42</v>
      </c>
      <c r="Z12" t="s">
        <v>41</v>
      </c>
      <c r="AA12" t="s">
        <v>41</v>
      </c>
      <c r="AB12" t="s">
        <v>72</v>
      </c>
    </row>
    <row r="13" spans="3:28">
      <c r="C13" t="s">
        <v>46</v>
      </c>
      <c r="D13" t="s">
        <v>47</v>
      </c>
      <c r="E13" t="s">
        <v>12</v>
      </c>
      <c r="F13" t="s">
        <v>48</v>
      </c>
      <c r="G13" t="s">
        <v>49</v>
      </c>
      <c r="H13" t="s">
        <v>2</v>
      </c>
      <c r="M13" t="s">
        <v>7</v>
      </c>
      <c r="Y13" t="s">
        <v>8</v>
      </c>
      <c r="Z13" t="s">
        <v>45</v>
      </c>
    </row>
    <row r="14" spans="3:28">
      <c r="C14" t="s">
        <v>73</v>
      </c>
      <c r="E14" t="s">
        <v>18</v>
      </c>
      <c r="F14">
        <v>1</v>
      </c>
      <c r="G14" t="s">
        <v>63</v>
      </c>
      <c r="H14">
        <v>1</v>
      </c>
      <c r="K14" s="6" t="s">
        <v>50</v>
      </c>
      <c r="L14" s="6" t="s">
        <v>12</v>
      </c>
      <c r="M14" s="6" t="s">
        <v>2</v>
      </c>
      <c r="N14" s="6" t="s">
        <v>1</v>
      </c>
      <c r="O14" s="6" t="s">
        <v>74</v>
      </c>
      <c r="P14" s="6" t="s">
        <v>75</v>
      </c>
      <c r="Q14" s="6" t="s">
        <v>76</v>
      </c>
      <c r="R14" s="6" t="s">
        <v>77</v>
      </c>
      <c r="S14" s="6" t="s">
        <v>78</v>
      </c>
      <c r="T14" s="6" t="s">
        <v>79</v>
      </c>
      <c r="U14" s="6" t="s">
        <v>80</v>
      </c>
      <c r="V14" s="6" t="s">
        <v>81</v>
      </c>
      <c r="W14" s="6" t="s">
        <v>57</v>
      </c>
      <c r="X14" s="6" t="s">
        <v>58</v>
      </c>
      <c r="Y14" s="6" t="s">
        <v>59</v>
      </c>
      <c r="Z14" s="6" t="s">
        <v>60</v>
      </c>
      <c r="AA14" s="6" t="s">
        <v>15</v>
      </c>
      <c r="AB14" s="6" t="s">
        <v>82</v>
      </c>
    </row>
    <row r="15" spans="3:28">
      <c r="C15" t="s">
        <v>73</v>
      </c>
      <c r="E15" t="s">
        <v>10</v>
      </c>
      <c r="F15">
        <v>2</v>
      </c>
      <c r="G15" t="s">
        <v>64</v>
      </c>
      <c r="H15">
        <v>2</v>
      </c>
    </row>
    <row r="16" spans="3:28">
      <c r="C16" t="s">
        <v>73</v>
      </c>
      <c r="E16" t="s">
        <v>65</v>
      </c>
      <c r="F16">
        <v>2</v>
      </c>
      <c r="G16" t="s">
        <v>64</v>
      </c>
      <c r="H16">
        <v>2</v>
      </c>
    </row>
    <row r="17" spans="3:8">
      <c r="C17" t="s">
        <v>73</v>
      </c>
      <c r="E17" t="s">
        <v>66</v>
      </c>
      <c r="F17">
        <v>4</v>
      </c>
      <c r="G17" t="s">
        <v>67</v>
      </c>
      <c r="H17">
        <v>4</v>
      </c>
    </row>
    <row r="18" spans="3:8">
      <c r="C18" t="s">
        <v>73</v>
      </c>
      <c r="E18" t="s">
        <v>68</v>
      </c>
      <c r="F18">
        <v>3</v>
      </c>
      <c r="G18" t="s">
        <v>68</v>
      </c>
      <c r="H1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C905-D1E6-4E14-B834-7EA697A3257D}">
  <dimension ref="A1:Q145"/>
  <sheetViews>
    <sheetView zoomScale="130" zoomScaleNormal="130" workbookViewId="0">
      <selection activeCell="B6" sqref="B6"/>
    </sheetView>
  </sheetViews>
  <sheetFormatPr defaultRowHeight="15" outlineLevelCol="1"/>
  <cols>
    <col min="1" max="1" width="5.85546875" bestFit="1" customWidth="1"/>
    <col min="2" max="2" width="3.42578125" bestFit="1" customWidth="1"/>
    <col min="3" max="3" width="15.7109375" bestFit="1" customWidth="1"/>
    <col min="4" max="4" width="26" customWidth="1"/>
    <col min="5" max="5" width="22.140625" bestFit="1" customWidth="1"/>
    <col min="6" max="6" width="17.42578125" bestFit="1" customWidth="1"/>
    <col min="7" max="8" width="14" customWidth="1"/>
    <col min="9" max="11" width="14.85546875" customWidth="1" outlineLevel="1"/>
    <col min="12" max="14" width="9.140625" outlineLevel="1"/>
    <col min="15" max="16" width="15.85546875" customWidth="1" outlineLevel="1"/>
    <col min="17" max="17" width="16.140625" style="7" customWidth="1"/>
  </cols>
  <sheetData>
    <row r="1" spans="1:17">
      <c r="A1" s="6" t="s">
        <v>83</v>
      </c>
    </row>
    <row r="2" spans="1:17">
      <c r="A2" t="s">
        <v>84</v>
      </c>
    </row>
    <row r="6" spans="1:17">
      <c r="Q6" s="8" t="s">
        <v>85</v>
      </c>
    </row>
    <row r="7" spans="1:17">
      <c r="A7" s="6" t="s">
        <v>86</v>
      </c>
      <c r="B7" s="6" t="s">
        <v>87</v>
      </c>
      <c r="C7" s="6" t="s">
        <v>88</v>
      </c>
      <c r="D7" s="6" t="s">
        <v>89</v>
      </c>
      <c r="E7" s="6" t="s">
        <v>53</v>
      </c>
      <c r="F7" s="6" t="s">
        <v>54</v>
      </c>
      <c r="G7" s="6" t="s">
        <v>43</v>
      </c>
      <c r="H7" s="6" t="s">
        <v>90</v>
      </c>
      <c r="I7" s="6" t="s">
        <v>91</v>
      </c>
      <c r="J7" s="6" t="s">
        <v>92</v>
      </c>
      <c r="K7" s="6" t="s">
        <v>93</v>
      </c>
      <c r="L7" s="6" t="s">
        <v>94</v>
      </c>
      <c r="M7" s="6" t="s">
        <v>95</v>
      </c>
      <c r="N7" s="6" t="s">
        <v>1</v>
      </c>
      <c r="O7" s="6" t="s">
        <v>96</v>
      </c>
      <c r="P7" s="6" t="s">
        <v>97</v>
      </c>
      <c r="Q7" s="9" t="s">
        <v>98</v>
      </c>
    </row>
    <row r="8" spans="1:17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5" t="s">
        <v>99</v>
      </c>
      <c r="Q8" s="10" t="s">
        <v>100</v>
      </c>
    </row>
    <row r="9" spans="1:17">
      <c r="A9" t="s">
        <v>101</v>
      </c>
      <c r="D9" t="s">
        <v>102</v>
      </c>
    </row>
    <row r="10" spans="1:17">
      <c r="A10" t="s">
        <v>101</v>
      </c>
      <c r="D10" t="s">
        <v>103</v>
      </c>
      <c r="E10" t="s">
        <v>104</v>
      </c>
      <c r="F10">
        <v>3</v>
      </c>
      <c r="O10">
        <v>3000</v>
      </c>
      <c r="P10">
        <v>3000</v>
      </c>
      <c r="Q10" s="7">
        <f>+IF(P10=P8,IF(F10=F9,Q8,Q8+10),P10)</f>
        <v>3000</v>
      </c>
    </row>
    <row r="11" spans="1:17">
      <c r="A11" t="s">
        <v>101</v>
      </c>
      <c r="B11">
        <v>1</v>
      </c>
      <c r="D11" t="s">
        <v>105</v>
      </c>
      <c r="E11" t="s">
        <v>104</v>
      </c>
      <c r="F11">
        <v>2</v>
      </c>
      <c r="G11" t="s">
        <v>106</v>
      </c>
      <c r="H11" t="s">
        <v>106</v>
      </c>
      <c r="I11" t="s">
        <v>107</v>
      </c>
      <c r="J11" t="s">
        <v>43</v>
      </c>
      <c r="O11">
        <v>3000</v>
      </c>
      <c r="P11">
        <f>+IF(O11=O10,IF(E11=E10,P10,P10+100),O11)</f>
        <v>3000</v>
      </c>
      <c r="Q11" s="7">
        <f>+IF(P11=P10,IF(F11=F10,Q10,Q10+10),P11)</f>
        <v>3010</v>
      </c>
    </row>
    <row r="12" spans="1:17">
      <c r="A12" t="s">
        <v>101</v>
      </c>
      <c r="B12">
        <v>1</v>
      </c>
      <c r="D12" t="s">
        <v>105</v>
      </c>
      <c r="E12" t="s">
        <v>104</v>
      </c>
      <c r="F12">
        <v>1</v>
      </c>
      <c r="G12" t="s">
        <v>106</v>
      </c>
      <c r="H12" t="s">
        <v>106</v>
      </c>
      <c r="I12" t="s">
        <v>107</v>
      </c>
      <c r="J12" t="s">
        <v>43</v>
      </c>
      <c r="O12">
        <v>3000</v>
      </c>
      <c r="P12">
        <f t="shared" ref="P12:P75" si="0">+IF(O12=O11,IF(E12=E11,P11,P11+100),O12)</f>
        <v>3000</v>
      </c>
      <c r="Q12" s="7">
        <f>+IF(P12=P11,IF(F12=F11,Q11,Q11+10),P12)</f>
        <v>3020</v>
      </c>
    </row>
    <row r="13" spans="1:17">
      <c r="A13" t="s">
        <v>101</v>
      </c>
      <c r="B13">
        <v>1</v>
      </c>
      <c r="D13" t="s">
        <v>105</v>
      </c>
      <c r="E13" t="s">
        <v>104</v>
      </c>
      <c r="F13" t="s">
        <v>108</v>
      </c>
      <c r="G13" t="s">
        <v>106</v>
      </c>
      <c r="H13" t="s">
        <v>106</v>
      </c>
      <c r="I13" t="s">
        <v>107</v>
      </c>
      <c r="J13" t="s">
        <v>43</v>
      </c>
      <c r="O13">
        <v>3000</v>
      </c>
      <c r="P13">
        <f t="shared" si="0"/>
        <v>3000</v>
      </c>
      <c r="Q13" s="7">
        <f>+IF(P13=P12,IF(F13=F12,Q12,Q12+10),P13)</f>
        <v>3030</v>
      </c>
    </row>
    <row r="14" spans="1:17">
      <c r="A14" t="s">
        <v>101</v>
      </c>
      <c r="B14">
        <v>1</v>
      </c>
      <c r="D14" t="s">
        <v>105</v>
      </c>
      <c r="E14" t="s">
        <v>104</v>
      </c>
      <c r="F14" t="s">
        <v>15</v>
      </c>
      <c r="G14" t="s">
        <v>106</v>
      </c>
      <c r="H14" t="s">
        <v>106</v>
      </c>
      <c r="I14" t="s">
        <v>107</v>
      </c>
      <c r="J14" t="s">
        <v>43</v>
      </c>
      <c r="O14">
        <v>3000</v>
      </c>
      <c r="P14">
        <f t="shared" si="0"/>
        <v>3000</v>
      </c>
      <c r="Q14" s="7">
        <f t="shared" ref="Q14:Q77" si="1">+IF(P14=P13,IF(F14=F13,Q13,Q13+10),P14)</f>
        <v>3040</v>
      </c>
    </row>
    <row r="15" spans="1:17">
      <c r="A15" t="s">
        <v>101</v>
      </c>
      <c r="B15">
        <v>1</v>
      </c>
      <c r="D15" t="s">
        <v>105</v>
      </c>
      <c r="E15" t="s">
        <v>104</v>
      </c>
      <c r="F15" t="s">
        <v>109</v>
      </c>
      <c r="G15" t="s">
        <v>106</v>
      </c>
      <c r="H15" t="s">
        <v>106</v>
      </c>
      <c r="I15" t="s">
        <v>107</v>
      </c>
      <c r="J15" t="s">
        <v>43</v>
      </c>
      <c r="O15">
        <v>3000</v>
      </c>
      <c r="P15">
        <f t="shared" si="0"/>
        <v>3000</v>
      </c>
      <c r="Q15" s="7">
        <f t="shared" si="1"/>
        <v>3050</v>
      </c>
    </row>
    <row r="16" spans="1:17">
      <c r="A16" t="s">
        <v>101</v>
      </c>
      <c r="B16">
        <v>1</v>
      </c>
      <c r="D16" t="s">
        <v>105</v>
      </c>
      <c r="E16" t="s">
        <v>104</v>
      </c>
      <c r="F16" t="s">
        <v>110</v>
      </c>
      <c r="G16" t="s">
        <v>106</v>
      </c>
      <c r="H16" t="s">
        <v>106</v>
      </c>
      <c r="I16" t="s">
        <v>107</v>
      </c>
      <c r="J16" t="s">
        <v>43</v>
      </c>
      <c r="O16">
        <v>3000</v>
      </c>
      <c r="P16">
        <f t="shared" si="0"/>
        <v>3000</v>
      </c>
      <c r="Q16" s="7">
        <f t="shared" si="1"/>
        <v>3060</v>
      </c>
    </row>
    <row r="17" spans="1:17">
      <c r="A17" t="s">
        <v>101</v>
      </c>
      <c r="B17">
        <v>1</v>
      </c>
      <c r="D17" t="s">
        <v>105</v>
      </c>
      <c r="E17" t="s">
        <v>104</v>
      </c>
      <c r="F17" t="s">
        <v>111</v>
      </c>
      <c r="G17" t="s">
        <v>106</v>
      </c>
      <c r="H17" t="s">
        <v>106</v>
      </c>
      <c r="I17" t="s">
        <v>107</v>
      </c>
      <c r="J17" t="s">
        <v>43</v>
      </c>
      <c r="O17">
        <v>3000</v>
      </c>
      <c r="P17">
        <f t="shared" si="0"/>
        <v>3000</v>
      </c>
      <c r="Q17" s="7">
        <f t="shared" si="1"/>
        <v>3070</v>
      </c>
    </row>
    <row r="18" spans="1:17">
      <c r="A18" t="s">
        <v>101</v>
      </c>
      <c r="B18">
        <v>1</v>
      </c>
      <c r="D18" t="s">
        <v>105</v>
      </c>
      <c r="E18" t="s">
        <v>104</v>
      </c>
      <c r="F18" t="s">
        <v>112</v>
      </c>
      <c r="G18" t="s">
        <v>106</v>
      </c>
      <c r="H18" t="s">
        <v>106</v>
      </c>
      <c r="I18" t="s">
        <v>107</v>
      </c>
      <c r="J18" t="s">
        <v>43</v>
      </c>
      <c r="O18">
        <v>3000</v>
      </c>
      <c r="P18">
        <f t="shared" si="0"/>
        <v>3000</v>
      </c>
      <c r="Q18" s="7">
        <f t="shared" si="1"/>
        <v>3080</v>
      </c>
    </row>
    <row r="19" spans="1:17">
      <c r="A19" t="s">
        <v>101</v>
      </c>
      <c r="B19">
        <v>1</v>
      </c>
      <c r="D19" t="s">
        <v>105</v>
      </c>
      <c r="E19" t="s">
        <v>113</v>
      </c>
      <c r="G19" t="s">
        <v>106</v>
      </c>
      <c r="H19" t="s">
        <v>106</v>
      </c>
      <c r="I19" t="s">
        <v>107</v>
      </c>
      <c r="J19" t="s">
        <v>43</v>
      </c>
      <c r="O19">
        <v>3000</v>
      </c>
      <c r="P19">
        <f t="shared" si="0"/>
        <v>3100</v>
      </c>
      <c r="Q19" s="7">
        <f t="shared" si="1"/>
        <v>3100</v>
      </c>
    </row>
    <row r="20" spans="1:17">
      <c r="A20" t="s">
        <v>101</v>
      </c>
      <c r="B20">
        <v>1</v>
      </c>
      <c r="D20" t="s">
        <v>105</v>
      </c>
      <c r="E20" t="s">
        <v>113</v>
      </c>
      <c r="F20" t="s">
        <v>114</v>
      </c>
      <c r="G20" t="s">
        <v>106</v>
      </c>
      <c r="H20" t="s">
        <v>106</v>
      </c>
      <c r="I20" t="s">
        <v>107</v>
      </c>
      <c r="J20" t="s">
        <v>43</v>
      </c>
      <c r="O20">
        <v>3000</v>
      </c>
      <c r="P20">
        <f t="shared" si="0"/>
        <v>3100</v>
      </c>
      <c r="Q20" s="7">
        <f t="shared" si="1"/>
        <v>3110</v>
      </c>
    </row>
    <row r="21" spans="1:17">
      <c r="A21" t="s">
        <v>101</v>
      </c>
      <c r="B21">
        <v>1</v>
      </c>
      <c r="D21" t="s">
        <v>105</v>
      </c>
      <c r="E21" t="s">
        <v>113</v>
      </c>
      <c r="F21" t="s">
        <v>112</v>
      </c>
      <c r="G21" t="s">
        <v>106</v>
      </c>
      <c r="H21" t="s">
        <v>106</v>
      </c>
      <c r="I21" t="s">
        <v>107</v>
      </c>
      <c r="J21" t="s">
        <v>43</v>
      </c>
      <c r="O21">
        <v>3000</v>
      </c>
      <c r="P21">
        <f t="shared" si="0"/>
        <v>3100</v>
      </c>
      <c r="Q21" s="7">
        <f t="shared" si="1"/>
        <v>3120</v>
      </c>
    </row>
    <row r="22" spans="1:17">
      <c r="A22" t="s">
        <v>101</v>
      </c>
      <c r="B22">
        <v>2</v>
      </c>
      <c r="D22" t="s">
        <v>115</v>
      </c>
      <c r="G22" t="s">
        <v>106</v>
      </c>
      <c r="H22" t="s">
        <v>106</v>
      </c>
      <c r="I22" t="s">
        <v>107</v>
      </c>
      <c r="J22" t="s">
        <v>43</v>
      </c>
      <c r="O22">
        <v>3000</v>
      </c>
      <c r="P22">
        <f t="shared" si="0"/>
        <v>3200</v>
      </c>
      <c r="Q22" s="7">
        <f t="shared" si="1"/>
        <v>3200</v>
      </c>
    </row>
    <row r="23" spans="1:17">
      <c r="A23" t="s">
        <v>101</v>
      </c>
      <c r="B23">
        <v>2</v>
      </c>
      <c r="D23" t="s">
        <v>115</v>
      </c>
      <c r="E23" t="s">
        <v>116</v>
      </c>
      <c r="F23" t="s">
        <v>117</v>
      </c>
      <c r="G23" t="s">
        <v>106</v>
      </c>
      <c r="H23" t="s">
        <v>106</v>
      </c>
      <c r="I23" t="s">
        <v>107</v>
      </c>
      <c r="J23" t="s">
        <v>43</v>
      </c>
      <c r="O23">
        <v>4000</v>
      </c>
      <c r="P23">
        <f t="shared" si="0"/>
        <v>4000</v>
      </c>
      <c r="Q23" s="7">
        <f t="shared" si="1"/>
        <v>4000</v>
      </c>
    </row>
    <row r="24" spans="1:17">
      <c r="A24" t="s">
        <v>101</v>
      </c>
      <c r="B24">
        <v>2</v>
      </c>
      <c r="D24" t="s">
        <v>115</v>
      </c>
      <c r="E24" t="s">
        <v>116</v>
      </c>
      <c r="F24" t="s">
        <v>118</v>
      </c>
      <c r="G24" t="s">
        <v>106</v>
      </c>
      <c r="H24" t="s">
        <v>106</v>
      </c>
      <c r="I24" t="s">
        <v>107</v>
      </c>
      <c r="J24" t="s">
        <v>43</v>
      </c>
      <c r="O24">
        <v>4000</v>
      </c>
      <c r="P24">
        <f t="shared" si="0"/>
        <v>4000</v>
      </c>
      <c r="Q24" s="7">
        <f t="shared" si="1"/>
        <v>4010</v>
      </c>
    </row>
    <row r="25" spans="1:17">
      <c r="A25" t="s">
        <v>101</v>
      </c>
      <c r="B25">
        <v>2</v>
      </c>
      <c r="D25" t="s">
        <v>115</v>
      </c>
      <c r="E25" t="s">
        <v>116</v>
      </c>
      <c r="F25" t="s">
        <v>119</v>
      </c>
      <c r="G25" t="s">
        <v>106</v>
      </c>
      <c r="H25" t="s">
        <v>106</v>
      </c>
      <c r="I25" t="s">
        <v>107</v>
      </c>
      <c r="J25" t="s">
        <v>43</v>
      </c>
      <c r="O25">
        <v>4000</v>
      </c>
      <c r="P25">
        <f t="shared" si="0"/>
        <v>4000</v>
      </c>
      <c r="Q25" s="7">
        <f t="shared" si="1"/>
        <v>4020</v>
      </c>
    </row>
    <row r="26" spans="1:17">
      <c r="A26" t="s">
        <v>101</v>
      </c>
      <c r="B26">
        <v>2</v>
      </c>
      <c r="D26" t="s">
        <v>115</v>
      </c>
      <c r="E26" t="s">
        <v>120</v>
      </c>
      <c r="F26" t="s">
        <v>121</v>
      </c>
      <c r="G26" t="s">
        <v>106</v>
      </c>
      <c r="H26" t="s">
        <v>106</v>
      </c>
      <c r="I26" t="s">
        <v>107</v>
      </c>
      <c r="J26" t="s">
        <v>43</v>
      </c>
      <c r="O26">
        <v>4000</v>
      </c>
      <c r="P26">
        <f t="shared" si="0"/>
        <v>4100</v>
      </c>
      <c r="Q26" s="7">
        <f t="shared" si="1"/>
        <v>4100</v>
      </c>
    </row>
    <row r="27" spans="1:17">
      <c r="A27" t="s">
        <v>101</v>
      </c>
      <c r="B27">
        <v>2</v>
      </c>
      <c r="D27" t="s">
        <v>115</v>
      </c>
      <c r="E27" t="s">
        <v>120</v>
      </c>
      <c r="F27" t="s">
        <v>122</v>
      </c>
      <c r="G27" t="s">
        <v>106</v>
      </c>
      <c r="H27" t="s">
        <v>106</v>
      </c>
      <c r="I27" t="s">
        <v>107</v>
      </c>
      <c r="J27" t="s">
        <v>43</v>
      </c>
      <c r="O27">
        <v>4000</v>
      </c>
      <c r="P27">
        <f t="shared" si="0"/>
        <v>4100</v>
      </c>
      <c r="Q27" s="7">
        <f t="shared" si="1"/>
        <v>4110</v>
      </c>
    </row>
    <row r="28" spans="1:17">
      <c r="A28" t="s">
        <v>101</v>
      </c>
      <c r="B28">
        <v>2</v>
      </c>
      <c r="D28" t="s">
        <v>115</v>
      </c>
      <c r="E28" t="s">
        <v>120</v>
      </c>
      <c r="F28" t="s">
        <v>123</v>
      </c>
      <c r="G28" t="s">
        <v>106</v>
      </c>
      <c r="H28" t="s">
        <v>106</v>
      </c>
      <c r="I28" t="s">
        <v>107</v>
      </c>
      <c r="J28" t="s">
        <v>43</v>
      </c>
      <c r="O28">
        <v>4000</v>
      </c>
      <c r="P28">
        <f t="shared" si="0"/>
        <v>4100</v>
      </c>
      <c r="Q28" s="7">
        <f t="shared" si="1"/>
        <v>4120</v>
      </c>
    </row>
    <row r="29" spans="1:17">
      <c r="A29" t="s">
        <v>101</v>
      </c>
      <c r="B29">
        <v>2</v>
      </c>
      <c r="D29" t="s">
        <v>115</v>
      </c>
      <c r="E29" t="s">
        <v>119</v>
      </c>
      <c r="F29" t="s">
        <v>124</v>
      </c>
      <c r="G29" t="s">
        <v>106</v>
      </c>
      <c r="H29" t="s">
        <v>106</v>
      </c>
      <c r="I29" t="s">
        <v>107</v>
      </c>
      <c r="J29" t="s">
        <v>43</v>
      </c>
      <c r="O29">
        <v>4000</v>
      </c>
      <c r="P29">
        <f t="shared" si="0"/>
        <v>4200</v>
      </c>
      <c r="Q29" s="7">
        <f t="shared" si="1"/>
        <v>4200</v>
      </c>
    </row>
    <row r="30" spans="1:17">
      <c r="A30" t="s">
        <v>101</v>
      </c>
      <c r="B30">
        <v>2</v>
      </c>
      <c r="D30" t="s">
        <v>115</v>
      </c>
      <c r="E30" t="s">
        <v>119</v>
      </c>
      <c r="F30" t="s">
        <v>112</v>
      </c>
      <c r="G30" t="s">
        <v>106</v>
      </c>
      <c r="H30" t="s">
        <v>106</v>
      </c>
      <c r="I30" t="s">
        <v>107</v>
      </c>
      <c r="J30" t="s">
        <v>43</v>
      </c>
      <c r="O30">
        <v>4000</v>
      </c>
      <c r="P30">
        <f t="shared" si="0"/>
        <v>4200</v>
      </c>
      <c r="Q30" s="7">
        <f t="shared" si="1"/>
        <v>4210</v>
      </c>
    </row>
    <row r="31" spans="1:17">
      <c r="A31" t="s">
        <v>101</v>
      </c>
      <c r="B31">
        <v>3</v>
      </c>
      <c r="C31" t="s">
        <v>106</v>
      </c>
      <c r="D31" t="s">
        <v>125</v>
      </c>
      <c r="I31" t="s">
        <v>107</v>
      </c>
      <c r="J31" t="s">
        <v>43</v>
      </c>
      <c r="O31">
        <v>10000</v>
      </c>
      <c r="P31">
        <f t="shared" si="0"/>
        <v>10000</v>
      </c>
      <c r="Q31" s="7">
        <f t="shared" si="1"/>
        <v>10000</v>
      </c>
    </row>
    <row r="32" spans="1:17">
      <c r="A32" t="s">
        <v>101</v>
      </c>
      <c r="B32">
        <v>4</v>
      </c>
      <c r="D32" t="s">
        <v>126</v>
      </c>
      <c r="E32" t="s">
        <v>127</v>
      </c>
      <c r="F32" t="s">
        <v>127</v>
      </c>
      <c r="G32" t="s">
        <v>106</v>
      </c>
      <c r="H32" t="s">
        <v>106</v>
      </c>
      <c r="I32" t="s">
        <v>107</v>
      </c>
      <c r="J32" t="s">
        <v>43</v>
      </c>
      <c r="O32">
        <v>5000</v>
      </c>
      <c r="P32">
        <f t="shared" si="0"/>
        <v>5000</v>
      </c>
      <c r="Q32" s="7">
        <f t="shared" si="1"/>
        <v>5000</v>
      </c>
    </row>
    <row r="33" spans="1:17">
      <c r="A33" t="s">
        <v>101</v>
      </c>
      <c r="B33">
        <v>5</v>
      </c>
      <c r="D33" t="s">
        <v>128</v>
      </c>
      <c r="E33" t="s">
        <v>129</v>
      </c>
      <c r="F33" t="s">
        <v>129</v>
      </c>
      <c r="G33" t="s">
        <v>106</v>
      </c>
      <c r="H33" t="s">
        <v>106</v>
      </c>
      <c r="I33" t="s">
        <v>107</v>
      </c>
      <c r="J33" t="s">
        <v>43</v>
      </c>
      <c r="O33">
        <v>5000</v>
      </c>
      <c r="P33">
        <f t="shared" si="0"/>
        <v>5100</v>
      </c>
      <c r="Q33" s="7">
        <f t="shared" si="1"/>
        <v>5100</v>
      </c>
    </row>
    <row r="34" spans="1:17">
      <c r="A34" t="s">
        <v>101</v>
      </c>
      <c r="B34">
        <v>5</v>
      </c>
      <c r="D34" t="s">
        <v>128</v>
      </c>
      <c r="E34" t="s">
        <v>129</v>
      </c>
      <c r="F34" t="s">
        <v>130</v>
      </c>
      <c r="G34" t="s">
        <v>106</v>
      </c>
      <c r="H34" t="s">
        <v>106</v>
      </c>
      <c r="I34" t="s">
        <v>107</v>
      </c>
      <c r="J34" t="s">
        <v>43</v>
      </c>
      <c r="O34">
        <v>5000</v>
      </c>
      <c r="P34">
        <f t="shared" si="0"/>
        <v>5100</v>
      </c>
      <c r="Q34" s="7">
        <f t="shared" si="1"/>
        <v>5110</v>
      </c>
    </row>
    <row r="35" spans="1:17">
      <c r="A35" t="s">
        <v>101</v>
      </c>
      <c r="B35">
        <v>5</v>
      </c>
      <c r="D35" t="s">
        <v>128</v>
      </c>
      <c r="E35" t="s">
        <v>129</v>
      </c>
      <c r="F35" t="s">
        <v>131</v>
      </c>
      <c r="G35" t="s">
        <v>106</v>
      </c>
      <c r="H35" t="s">
        <v>106</v>
      </c>
      <c r="I35" t="s">
        <v>107</v>
      </c>
      <c r="J35" t="s">
        <v>43</v>
      </c>
      <c r="O35">
        <v>5000</v>
      </c>
      <c r="P35">
        <f t="shared" si="0"/>
        <v>5100</v>
      </c>
      <c r="Q35" s="7">
        <f t="shared" si="1"/>
        <v>5120</v>
      </c>
    </row>
    <row r="36" spans="1:17">
      <c r="A36" t="s">
        <v>101</v>
      </c>
      <c r="B36">
        <v>5</v>
      </c>
      <c r="D36" t="s">
        <v>128</v>
      </c>
      <c r="E36" t="s">
        <v>129</v>
      </c>
      <c r="F36" t="s">
        <v>132</v>
      </c>
      <c r="G36" t="s">
        <v>106</v>
      </c>
      <c r="H36" t="s">
        <v>106</v>
      </c>
      <c r="I36" t="s">
        <v>107</v>
      </c>
      <c r="J36" t="s">
        <v>43</v>
      </c>
      <c r="O36">
        <v>5000</v>
      </c>
      <c r="P36">
        <f t="shared" si="0"/>
        <v>5100</v>
      </c>
      <c r="Q36" s="7">
        <f t="shared" si="1"/>
        <v>5130</v>
      </c>
    </row>
    <row r="37" spans="1:17">
      <c r="A37" t="s">
        <v>101</v>
      </c>
      <c r="B37">
        <v>5</v>
      </c>
      <c r="D37" t="s">
        <v>128</v>
      </c>
      <c r="E37" t="s">
        <v>129</v>
      </c>
      <c r="F37" t="s">
        <v>133</v>
      </c>
      <c r="G37" t="s">
        <v>106</v>
      </c>
      <c r="H37" t="s">
        <v>106</v>
      </c>
      <c r="I37" t="s">
        <v>107</v>
      </c>
      <c r="J37" t="s">
        <v>43</v>
      </c>
      <c r="O37">
        <v>5000</v>
      </c>
      <c r="P37">
        <f t="shared" si="0"/>
        <v>5100</v>
      </c>
      <c r="Q37" s="7">
        <f t="shared" si="1"/>
        <v>5140</v>
      </c>
    </row>
    <row r="38" spans="1:17">
      <c r="A38" t="s">
        <v>101</v>
      </c>
      <c r="B38">
        <v>5</v>
      </c>
      <c r="D38" t="s">
        <v>128</v>
      </c>
      <c r="E38" t="s">
        <v>129</v>
      </c>
      <c r="F38" t="s">
        <v>134</v>
      </c>
      <c r="G38" t="s">
        <v>106</v>
      </c>
      <c r="H38" t="s">
        <v>106</v>
      </c>
      <c r="I38" t="s">
        <v>107</v>
      </c>
      <c r="J38" t="s">
        <v>43</v>
      </c>
      <c r="O38">
        <v>5000</v>
      </c>
      <c r="P38">
        <f t="shared" si="0"/>
        <v>5100</v>
      </c>
      <c r="Q38" s="7">
        <f t="shared" si="1"/>
        <v>5150</v>
      </c>
    </row>
    <row r="39" spans="1:17">
      <c r="A39" t="s">
        <v>101</v>
      </c>
      <c r="B39">
        <v>5</v>
      </c>
      <c r="D39" t="s">
        <v>128</v>
      </c>
      <c r="E39" t="s">
        <v>135</v>
      </c>
      <c r="F39" t="s">
        <v>136</v>
      </c>
      <c r="G39" t="s">
        <v>106</v>
      </c>
      <c r="H39" t="s">
        <v>106</v>
      </c>
      <c r="I39" t="s">
        <v>107</v>
      </c>
      <c r="J39" t="s">
        <v>43</v>
      </c>
      <c r="O39">
        <v>5000</v>
      </c>
      <c r="P39">
        <f t="shared" si="0"/>
        <v>5200</v>
      </c>
      <c r="Q39" s="7">
        <f t="shared" si="1"/>
        <v>5200</v>
      </c>
    </row>
    <row r="40" spans="1:17">
      <c r="A40" t="s">
        <v>101</v>
      </c>
      <c r="B40">
        <v>5</v>
      </c>
      <c r="D40" t="s">
        <v>128</v>
      </c>
      <c r="E40" t="s">
        <v>135</v>
      </c>
      <c r="F40" t="s">
        <v>137</v>
      </c>
      <c r="G40" t="s">
        <v>106</v>
      </c>
      <c r="H40" t="s">
        <v>106</v>
      </c>
      <c r="I40" t="s">
        <v>107</v>
      </c>
      <c r="J40" t="s">
        <v>43</v>
      </c>
      <c r="O40">
        <v>5000</v>
      </c>
      <c r="P40">
        <f t="shared" si="0"/>
        <v>5200</v>
      </c>
      <c r="Q40" s="7">
        <f t="shared" si="1"/>
        <v>5210</v>
      </c>
    </row>
    <row r="41" spans="1:17">
      <c r="A41" t="s">
        <v>101</v>
      </c>
      <c r="B41">
        <v>5</v>
      </c>
      <c r="D41" t="s">
        <v>128</v>
      </c>
      <c r="E41" t="s">
        <v>135</v>
      </c>
      <c r="F41" t="s">
        <v>135</v>
      </c>
      <c r="G41" t="s">
        <v>106</v>
      </c>
      <c r="H41" t="s">
        <v>106</v>
      </c>
      <c r="I41" t="s">
        <v>107</v>
      </c>
      <c r="J41" t="s">
        <v>43</v>
      </c>
      <c r="O41">
        <v>5000</v>
      </c>
      <c r="P41">
        <f t="shared" si="0"/>
        <v>5200</v>
      </c>
      <c r="Q41" s="7">
        <f t="shared" si="1"/>
        <v>5220</v>
      </c>
    </row>
    <row r="42" spans="1:17">
      <c r="A42" t="s">
        <v>101</v>
      </c>
      <c r="B42">
        <v>6</v>
      </c>
      <c r="D42" t="s">
        <v>138</v>
      </c>
      <c r="E42" t="s">
        <v>139</v>
      </c>
      <c r="F42" t="s">
        <v>139</v>
      </c>
      <c r="G42" t="s">
        <v>106</v>
      </c>
      <c r="H42" t="s">
        <v>106</v>
      </c>
      <c r="I42" t="s">
        <v>107</v>
      </c>
      <c r="J42" t="s">
        <v>43</v>
      </c>
      <c r="O42">
        <v>6100</v>
      </c>
      <c r="P42">
        <f t="shared" si="0"/>
        <v>6100</v>
      </c>
      <c r="Q42" s="7">
        <f t="shared" si="1"/>
        <v>6100</v>
      </c>
    </row>
    <row r="43" spans="1:17">
      <c r="A43" t="s">
        <v>101</v>
      </c>
      <c r="B43">
        <v>6</v>
      </c>
      <c r="D43" t="s">
        <v>138</v>
      </c>
      <c r="E43" t="s">
        <v>140</v>
      </c>
      <c r="F43" t="s">
        <v>140</v>
      </c>
      <c r="G43" t="s">
        <v>106</v>
      </c>
      <c r="H43" t="s">
        <v>106</v>
      </c>
      <c r="I43" t="s">
        <v>107</v>
      </c>
      <c r="J43" t="s">
        <v>43</v>
      </c>
      <c r="O43">
        <v>6100</v>
      </c>
      <c r="P43">
        <f t="shared" si="0"/>
        <v>6200</v>
      </c>
      <c r="Q43" s="7">
        <f t="shared" si="1"/>
        <v>6200</v>
      </c>
    </row>
    <row r="44" spans="1:17">
      <c r="A44" t="s">
        <v>101</v>
      </c>
      <c r="B44">
        <v>6</v>
      </c>
      <c r="D44" t="s">
        <v>138</v>
      </c>
      <c r="E44" t="s">
        <v>140</v>
      </c>
      <c r="F44" t="s">
        <v>141</v>
      </c>
      <c r="G44" t="s">
        <v>106</v>
      </c>
      <c r="H44" t="s">
        <v>106</v>
      </c>
      <c r="I44" t="s">
        <v>107</v>
      </c>
      <c r="J44" t="s">
        <v>43</v>
      </c>
      <c r="O44">
        <v>6100</v>
      </c>
      <c r="P44">
        <f t="shared" si="0"/>
        <v>6200</v>
      </c>
      <c r="Q44" s="7">
        <f t="shared" si="1"/>
        <v>6210</v>
      </c>
    </row>
    <row r="45" spans="1:17">
      <c r="A45" t="s">
        <v>101</v>
      </c>
      <c r="B45">
        <v>6</v>
      </c>
      <c r="D45" t="s">
        <v>138</v>
      </c>
      <c r="E45" t="s">
        <v>140</v>
      </c>
      <c r="F45" t="s">
        <v>112</v>
      </c>
      <c r="G45" t="s">
        <v>106</v>
      </c>
      <c r="H45" t="s">
        <v>106</v>
      </c>
      <c r="I45" t="s">
        <v>107</v>
      </c>
      <c r="J45" t="s">
        <v>43</v>
      </c>
      <c r="O45">
        <v>6100</v>
      </c>
      <c r="P45">
        <f t="shared" si="0"/>
        <v>6200</v>
      </c>
      <c r="Q45" s="7">
        <f t="shared" si="1"/>
        <v>6220</v>
      </c>
    </row>
    <row r="46" spans="1:17">
      <c r="A46" t="s">
        <v>101</v>
      </c>
      <c r="B46">
        <v>6</v>
      </c>
      <c r="D46" t="s">
        <v>138</v>
      </c>
      <c r="E46" t="s">
        <v>142</v>
      </c>
      <c r="F46" t="s">
        <v>143</v>
      </c>
      <c r="G46" t="s">
        <v>106</v>
      </c>
      <c r="H46" t="s">
        <v>106</v>
      </c>
      <c r="I46" t="s">
        <v>107</v>
      </c>
      <c r="J46" t="s">
        <v>43</v>
      </c>
      <c r="O46">
        <v>6100</v>
      </c>
      <c r="P46">
        <f t="shared" si="0"/>
        <v>6300</v>
      </c>
      <c r="Q46" s="7">
        <f t="shared" si="1"/>
        <v>6300</v>
      </c>
    </row>
    <row r="47" spans="1:17">
      <c r="A47" t="s">
        <v>101</v>
      </c>
      <c r="B47">
        <v>6</v>
      </c>
      <c r="D47" t="s">
        <v>138</v>
      </c>
      <c r="E47" t="s">
        <v>144</v>
      </c>
      <c r="F47" t="s">
        <v>145</v>
      </c>
      <c r="G47" t="s">
        <v>106</v>
      </c>
      <c r="H47" t="s">
        <v>106</v>
      </c>
      <c r="I47" t="s">
        <v>107</v>
      </c>
      <c r="J47" t="s">
        <v>43</v>
      </c>
      <c r="O47">
        <v>6100</v>
      </c>
      <c r="P47">
        <f t="shared" si="0"/>
        <v>6400</v>
      </c>
      <c r="Q47" s="7">
        <f t="shared" si="1"/>
        <v>6400</v>
      </c>
    </row>
    <row r="48" spans="1:17">
      <c r="A48" t="s">
        <v>101</v>
      </c>
      <c r="B48">
        <v>6</v>
      </c>
      <c r="D48" t="s">
        <v>138</v>
      </c>
      <c r="E48" t="s">
        <v>144</v>
      </c>
      <c r="F48" t="s">
        <v>146</v>
      </c>
      <c r="G48" t="s">
        <v>106</v>
      </c>
      <c r="H48" t="s">
        <v>106</v>
      </c>
      <c r="I48" t="s">
        <v>107</v>
      </c>
      <c r="J48" t="s">
        <v>43</v>
      </c>
      <c r="O48">
        <v>6100</v>
      </c>
      <c r="P48">
        <f t="shared" si="0"/>
        <v>6400</v>
      </c>
      <c r="Q48" s="7">
        <f t="shared" si="1"/>
        <v>6410</v>
      </c>
    </row>
    <row r="49" spans="1:17">
      <c r="A49" t="s">
        <v>101</v>
      </c>
      <c r="B49">
        <v>6</v>
      </c>
      <c r="D49" t="s">
        <v>138</v>
      </c>
      <c r="E49" t="s">
        <v>144</v>
      </c>
      <c r="F49" t="s">
        <v>112</v>
      </c>
      <c r="G49" t="s">
        <v>106</v>
      </c>
      <c r="H49" t="s">
        <v>106</v>
      </c>
      <c r="I49" t="s">
        <v>107</v>
      </c>
      <c r="J49" t="s">
        <v>43</v>
      </c>
      <c r="O49">
        <v>6100</v>
      </c>
      <c r="P49">
        <f t="shared" si="0"/>
        <v>6400</v>
      </c>
      <c r="Q49" s="7">
        <f t="shared" si="1"/>
        <v>6420</v>
      </c>
    </row>
    <row r="50" spans="1:17">
      <c r="A50" t="s">
        <v>101</v>
      </c>
      <c r="B50">
        <v>6</v>
      </c>
      <c r="D50" t="s">
        <v>138</v>
      </c>
      <c r="E50" t="s">
        <v>147</v>
      </c>
      <c r="F50" t="s">
        <v>148</v>
      </c>
      <c r="G50" t="s">
        <v>106</v>
      </c>
      <c r="H50" t="s">
        <v>106</v>
      </c>
      <c r="I50" t="s">
        <v>107</v>
      </c>
      <c r="J50" t="s">
        <v>43</v>
      </c>
      <c r="O50">
        <v>6100</v>
      </c>
      <c r="P50">
        <f t="shared" si="0"/>
        <v>6500</v>
      </c>
      <c r="Q50" s="7">
        <f t="shared" si="1"/>
        <v>6500</v>
      </c>
    </row>
    <row r="51" spans="1:17">
      <c r="A51" t="s">
        <v>101</v>
      </c>
      <c r="B51">
        <v>6</v>
      </c>
      <c r="D51" t="s">
        <v>138</v>
      </c>
      <c r="E51" t="s">
        <v>147</v>
      </c>
      <c r="F51" t="s">
        <v>110</v>
      </c>
      <c r="G51" t="s">
        <v>106</v>
      </c>
      <c r="H51" t="s">
        <v>106</v>
      </c>
      <c r="I51" t="s">
        <v>107</v>
      </c>
      <c r="J51" t="s">
        <v>43</v>
      </c>
      <c r="O51">
        <v>6100</v>
      </c>
      <c r="P51">
        <f t="shared" si="0"/>
        <v>6500</v>
      </c>
      <c r="Q51" s="7">
        <f t="shared" si="1"/>
        <v>6510</v>
      </c>
    </row>
    <row r="52" spans="1:17">
      <c r="A52" t="s">
        <v>101</v>
      </c>
      <c r="B52">
        <v>6</v>
      </c>
      <c r="D52" t="s">
        <v>138</v>
      </c>
      <c r="E52" t="s">
        <v>147</v>
      </c>
      <c r="F52" t="s">
        <v>149</v>
      </c>
      <c r="G52" t="s">
        <v>106</v>
      </c>
      <c r="H52" t="s">
        <v>106</v>
      </c>
      <c r="I52" t="s">
        <v>107</v>
      </c>
      <c r="J52" t="s">
        <v>43</v>
      </c>
      <c r="O52">
        <v>6100</v>
      </c>
      <c r="P52">
        <f t="shared" si="0"/>
        <v>6500</v>
      </c>
      <c r="Q52" s="7">
        <f t="shared" si="1"/>
        <v>6520</v>
      </c>
    </row>
    <row r="53" spans="1:17">
      <c r="A53" t="s">
        <v>101</v>
      </c>
      <c r="B53">
        <v>6</v>
      </c>
      <c r="D53" t="s">
        <v>138</v>
      </c>
      <c r="E53" t="s">
        <v>150</v>
      </c>
      <c r="F53" t="s">
        <v>150</v>
      </c>
      <c r="G53" t="s">
        <v>106</v>
      </c>
      <c r="H53" t="s">
        <v>106</v>
      </c>
      <c r="I53" t="s">
        <v>107</v>
      </c>
      <c r="J53" t="s">
        <v>43</v>
      </c>
      <c r="O53">
        <v>6100</v>
      </c>
      <c r="P53">
        <f t="shared" si="0"/>
        <v>6600</v>
      </c>
      <c r="Q53" s="7">
        <f t="shared" si="1"/>
        <v>6600</v>
      </c>
    </row>
    <row r="54" spans="1:17">
      <c r="A54" t="s">
        <v>101</v>
      </c>
      <c r="B54">
        <v>6</v>
      </c>
      <c r="D54" t="s">
        <v>138</v>
      </c>
      <c r="E54" t="s">
        <v>151</v>
      </c>
      <c r="F54" t="s">
        <v>152</v>
      </c>
      <c r="G54" t="s">
        <v>106</v>
      </c>
      <c r="H54" t="s">
        <v>106</v>
      </c>
      <c r="I54" t="s">
        <v>107</v>
      </c>
      <c r="J54" t="s">
        <v>43</v>
      </c>
      <c r="O54">
        <v>6100</v>
      </c>
      <c r="P54">
        <f t="shared" si="0"/>
        <v>6700</v>
      </c>
      <c r="Q54" s="7">
        <f t="shared" si="1"/>
        <v>6700</v>
      </c>
    </row>
    <row r="55" spans="1:17">
      <c r="A55" t="s">
        <v>101</v>
      </c>
      <c r="B55">
        <v>6</v>
      </c>
      <c r="D55" t="s">
        <v>138</v>
      </c>
      <c r="E55" t="s">
        <v>151</v>
      </c>
      <c r="F55" t="s">
        <v>153</v>
      </c>
      <c r="G55" t="s">
        <v>106</v>
      </c>
      <c r="H55" t="s">
        <v>106</v>
      </c>
      <c r="I55" t="s">
        <v>107</v>
      </c>
      <c r="J55" t="s">
        <v>43</v>
      </c>
      <c r="O55">
        <v>6100</v>
      </c>
      <c r="P55">
        <f t="shared" si="0"/>
        <v>6700</v>
      </c>
      <c r="Q55" s="7">
        <f t="shared" si="1"/>
        <v>6710</v>
      </c>
    </row>
    <row r="57" spans="1:17">
      <c r="A57" t="s">
        <v>101</v>
      </c>
      <c r="B57">
        <v>6</v>
      </c>
      <c r="D57" t="s">
        <v>138</v>
      </c>
      <c r="E57" t="s">
        <v>154</v>
      </c>
      <c r="F57" t="s">
        <v>155</v>
      </c>
      <c r="G57" t="s">
        <v>106</v>
      </c>
      <c r="H57" t="s">
        <v>106</v>
      </c>
      <c r="I57" t="s">
        <v>107</v>
      </c>
      <c r="J57" t="s">
        <v>43</v>
      </c>
      <c r="O57">
        <v>6100</v>
      </c>
      <c r="P57">
        <f>+IF(O57=O54,IF(E57=E54,P54,P54+100),O57)</f>
        <v>6800</v>
      </c>
      <c r="Q57" s="7">
        <f>+IF(P57=P54,IF(F57=F54,Q54,Q54+10),P57)</f>
        <v>6800</v>
      </c>
    </row>
    <row r="58" spans="1:17">
      <c r="A58" t="s">
        <v>101</v>
      </c>
      <c r="B58">
        <v>6</v>
      </c>
      <c r="D58" t="s">
        <v>138</v>
      </c>
      <c r="E58" t="s">
        <v>154</v>
      </c>
      <c r="F58" t="s">
        <v>156</v>
      </c>
      <c r="G58" t="s">
        <v>106</v>
      </c>
      <c r="H58" t="s">
        <v>106</v>
      </c>
      <c r="I58" t="s">
        <v>107</v>
      </c>
      <c r="J58" t="s">
        <v>43</v>
      </c>
      <c r="O58">
        <v>6100</v>
      </c>
      <c r="P58">
        <f t="shared" si="0"/>
        <v>6800</v>
      </c>
      <c r="Q58" s="7">
        <f t="shared" si="1"/>
        <v>6810</v>
      </c>
    </row>
    <row r="59" spans="1:17">
      <c r="A59" t="s">
        <v>101</v>
      </c>
      <c r="B59">
        <v>6</v>
      </c>
      <c r="D59" t="s">
        <v>138</v>
      </c>
      <c r="E59" t="s">
        <v>154</v>
      </c>
      <c r="F59" t="s">
        <v>157</v>
      </c>
      <c r="G59" t="s">
        <v>106</v>
      </c>
      <c r="H59" t="s">
        <v>106</v>
      </c>
      <c r="I59" t="s">
        <v>107</v>
      </c>
      <c r="J59" t="s">
        <v>43</v>
      </c>
      <c r="O59">
        <v>6100</v>
      </c>
      <c r="P59">
        <f t="shared" si="0"/>
        <v>6800</v>
      </c>
      <c r="Q59" s="7">
        <f t="shared" si="1"/>
        <v>6820</v>
      </c>
    </row>
    <row r="60" spans="1:17">
      <c r="A60" t="s">
        <v>101</v>
      </c>
      <c r="B60">
        <v>6</v>
      </c>
      <c r="D60" t="s">
        <v>138</v>
      </c>
      <c r="E60" t="s">
        <v>154</v>
      </c>
      <c r="F60" t="s">
        <v>112</v>
      </c>
      <c r="G60" t="s">
        <v>106</v>
      </c>
      <c r="H60" t="s">
        <v>106</v>
      </c>
      <c r="I60" t="s">
        <v>107</v>
      </c>
      <c r="J60" t="s">
        <v>43</v>
      </c>
      <c r="O60">
        <v>6100</v>
      </c>
      <c r="P60">
        <f t="shared" si="0"/>
        <v>6800</v>
      </c>
      <c r="Q60" s="7">
        <f t="shared" si="1"/>
        <v>6830</v>
      </c>
    </row>
    <row r="61" spans="1:17">
      <c r="A61" t="s">
        <v>101</v>
      </c>
      <c r="B61">
        <v>6</v>
      </c>
      <c r="D61" t="s">
        <v>138</v>
      </c>
      <c r="E61" t="s">
        <v>158</v>
      </c>
      <c r="F61" t="s">
        <v>159</v>
      </c>
      <c r="G61" t="s">
        <v>106</v>
      </c>
      <c r="H61" t="s">
        <v>106</v>
      </c>
      <c r="I61" t="s">
        <v>107</v>
      </c>
      <c r="J61" t="s">
        <v>43</v>
      </c>
      <c r="O61">
        <v>6100</v>
      </c>
      <c r="P61">
        <f t="shared" si="0"/>
        <v>6900</v>
      </c>
      <c r="Q61" s="7">
        <f t="shared" si="1"/>
        <v>6900</v>
      </c>
    </row>
    <row r="62" spans="1:17">
      <c r="A62" t="s">
        <v>101</v>
      </c>
      <c r="B62">
        <v>6</v>
      </c>
      <c r="D62" t="s">
        <v>138</v>
      </c>
      <c r="E62" t="s">
        <v>158</v>
      </c>
      <c r="F62" t="s">
        <v>112</v>
      </c>
      <c r="G62" t="s">
        <v>106</v>
      </c>
      <c r="H62" t="s">
        <v>106</v>
      </c>
      <c r="I62" t="s">
        <v>107</v>
      </c>
      <c r="J62" t="s">
        <v>43</v>
      </c>
      <c r="O62">
        <v>6100</v>
      </c>
      <c r="P62">
        <f t="shared" si="0"/>
        <v>6900</v>
      </c>
      <c r="Q62" s="7">
        <f t="shared" si="1"/>
        <v>6910</v>
      </c>
    </row>
    <row r="63" spans="1:17">
      <c r="A63" t="s">
        <v>101</v>
      </c>
      <c r="B63">
        <v>6</v>
      </c>
      <c r="D63" t="s">
        <v>138</v>
      </c>
      <c r="E63" t="s">
        <v>160</v>
      </c>
      <c r="F63" t="s">
        <v>142</v>
      </c>
      <c r="G63" t="s">
        <v>106</v>
      </c>
      <c r="H63" t="s">
        <v>106</v>
      </c>
      <c r="I63" t="s">
        <v>107</v>
      </c>
      <c r="J63" t="s">
        <v>43</v>
      </c>
      <c r="O63">
        <v>6100</v>
      </c>
      <c r="P63">
        <f t="shared" si="0"/>
        <v>7000</v>
      </c>
      <c r="Q63" s="7">
        <f t="shared" si="1"/>
        <v>7000</v>
      </c>
    </row>
    <row r="64" spans="1:17">
      <c r="A64" t="s">
        <v>101</v>
      </c>
      <c r="B64">
        <v>6</v>
      </c>
      <c r="D64" t="s">
        <v>138</v>
      </c>
      <c r="E64" t="s">
        <v>160</v>
      </c>
      <c r="F64" t="s">
        <v>158</v>
      </c>
      <c r="G64" t="s">
        <v>106</v>
      </c>
      <c r="H64" t="s">
        <v>106</v>
      </c>
      <c r="I64" t="s">
        <v>107</v>
      </c>
      <c r="J64" t="s">
        <v>43</v>
      </c>
      <c r="O64">
        <v>6100</v>
      </c>
      <c r="P64">
        <f t="shared" si="0"/>
        <v>7000</v>
      </c>
      <c r="Q64" s="7">
        <f t="shared" si="1"/>
        <v>7010</v>
      </c>
    </row>
    <row r="65" spans="1:17">
      <c r="A65" t="s">
        <v>101</v>
      </c>
      <c r="B65">
        <v>6</v>
      </c>
      <c r="D65" t="s">
        <v>138</v>
      </c>
      <c r="E65" t="s">
        <v>160</v>
      </c>
      <c r="F65" t="s">
        <v>161</v>
      </c>
      <c r="G65" t="s">
        <v>106</v>
      </c>
      <c r="H65" t="s">
        <v>106</v>
      </c>
      <c r="I65" t="s">
        <v>107</v>
      </c>
      <c r="J65" t="s">
        <v>43</v>
      </c>
      <c r="O65">
        <v>6100</v>
      </c>
      <c r="P65">
        <f t="shared" si="0"/>
        <v>7000</v>
      </c>
      <c r="Q65" s="7">
        <f t="shared" si="1"/>
        <v>7020</v>
      </c>
    </row>
    <row r="66" spans="1:17">
      <c r="A66" t="s">
        <v>101</v>
      </c>
      <c r="B66">
        <v>6</v>
      </c>
      <c r="D66" t="s">
        <v>138</v>
      </c>
      <c r="E66" t="s">
        <v>160</v>
      </c>
      <c r="F66" t="s">
        <v>162</v>
      </c>
      <c r="G66" t="s">
        <v>106</v>
      </c>
      <c r="H66" t="s">
        <v>106</v>
      </c>
      <c r="I66" t="s">
        <v>107</v>
      </c>
      <c r="J66" t="s">
        <v>43</v>
      </c>
      <c r="O66">
        <v>6100</v>
      </c>
      <c r="P66">
        <f t="shared" si="0"/>
        <v>7000</v>
      </c>
      <c r="Q66" s="7">
        <f t="shared" si="1"/>
        <v>7030</v>
      </c>
    </row>
    <row r="67" spans="1:17">
      <c r="A67" t="s">
        <v>101</v>
      </c>
      <c r="B67">
        <v>6</v>
      </c>
      <c r="D67" t="s">
        <v>138</v>
      </c>
      <c r="E67" t="s">
        <v>163</v>
      </c>
      <c r="F67" t="s">
        <v>163</v>
      </c>
      <c r="G67" t="s">
        <v>106</v>
      </c>
      <c r="H67" t="s">
        <v>106</v>
      </c>
      <c r="I67" t="s">
        <v>107</v>
      </c>
      <c r="J67" t="s">
        <v>43</v>
      </c>
      <c r="O67">
        <v>6100</v>
      </c>
      <c r="P67">
        <f t="shared" si="0"/>
        <v>7100</v>
      </c>
      <c r="Q67" s="7">
        <f t="shared" si="1"/>
        <v>7100</v>
      </c>
    </row>
    <row r="68" spans="1:17">
      <c r="A68" t="s">
        <v>101</v>
      </c>
      <c r="B68">
        <v>7</v>
      </c>
      <c r="C68" t="s">
        <v>106</v>
      </c>
      <c r="D68" t="s">
        <v>43</v>
      </c>
      <c r="G68" t="s">
        <v>106</v>
      </c>
      <c r="H68" t="s">
        <v>106</v>
      </c>
      <c r="I68" t="s">
        <v>107</v>
      </c>
      <c r="J68" t="s">
        <v>43</v>
      </c>
      <c r="O68">
        <v>11000</v>
      </c>
      <c r="P68">
        <f t="shared" si="0"/>
        <v>11000</v>
      </c>
      <c r="Q68" s="7">
        <f t="shared" si="1"/>
        <v>11000</v>
      </c>
    </row>
    <row r="69" spans="1:17">
      <c r="A69" t="s">
        <v>101</v>
      </c>
      <c r="B69">
        <v>8</v>
      </c>
      <c r="D69" t="s">
        <v>164</v>
      </c>
      <c r="E69" t="s">
        <v>165</v>
      </c>
      <c r="F69" t="s">
        <v>165</v>
      </c>
      <c r="H69" t="s">
        <v>106</v>
      </c>
      <c r="O69">
        <v>6000</v>
      </c>
      <c r="P69">
        <f t="shared" si="0"/>
        <v>6000</v>
      </c>
      <c r="Q69" s="7">
        <f t="shared" si="1"/>
        <v>6000</v>
      </c>
    </row>
    <row r="70" spans="1:17">
      <c r="A70" t="s">
        <v>101</v>
      </c>
      <c r="B70">
        <v>9</v>
      </c>
      <c r="C70" t="s">
        <v>106</v>
      </c>
      <c r="D70" t="s">
        <v>166</v>
      </c>
      <c r="O70">
        <v>12000</v>
      </c>
      <c r="P70">
        <f t="shared" si="0"/>
        <v>12000</v>
      </c>
      <c r="Q70" s="7">
        <f t="shared" si="1"/>
        <v>12000</v>
      </c>
    </row>
    <row r="71" spans="1:17">
      <c r="A71" t="s">
        <v>101</v>
      </c>
      <c r="B71">
        <v>10</v>
      </c>
      <c r="D71" t="s">
        <v>167</v>
      </c>
      <c r="E71" t="s">
        <v>168</v>
      </c>
      <c r="H71" t="s">
        <v>106</v>
      </c>
      <c r="O71">
        <v>7990</v>
      </c>
      <c r="P71">
        <f t="shared" si="0"/>
        <v>7990</v>
      </c>
      <c r="Q71" s="7">
        <f t="shared" si="1"/>
        <v>7990</v>
      </c>
    </row>
    <row r="72" spans="1:17">
      <c r="A72" t="s">
        <v>101</v>
      </c>
      <c r="B72">
        <v>11</v>
      </c>
      <c r="D72" t="s">
        <v>169</v>
      </c>
      <c r="E72" t="s">
        <v>170</v>
      </c>
      <c r="F72" t="s">
        <v>171</v>
      </c>
      <c r="H72" t="s">
        <v>106</v>
      </c>
      <c r="I72" t="s">
        <v>107</v>
      </c>
      <c r="J72" t="s">
        <v>172</v>
      </c>
      <c r="O72">
        <v>8000</v>
      </c>
      <c r="P72">
        <f t="shared" si="0"/>
        <v>8000</v>
      </c>
      <c r="Q72" s="7">
        <f t="shared" si="1"/>
        <v>8000</v>
      </c>
    </row>
    <row r="73" spans="1:17">
      <c r="A73" t="s">
        <v>101</v>
      </c>
      <c r="B73">
        <v>11</v>
      </c>
      <c r="D73" t="s">
        <v>169</v>
      </c>
      <c r="E73" t="s">
        <v>170</v>
      </c>
      <c r="F73" t="s">
        <v>173</v>
      </c>
      <c r="H73" t="s">
        <v>106</v>
      </c>
      <c r="I73" t="s">
        <v>107</v>
      </c>
      <c r="J73" t="s">
        <v>172</v>
      </c>
      <c r="O73">
        <v>8000</v>
      </c>
      <c r="P73">
        <f t="shared" si="0"/>
        <v>8000</v>
      </c>
      <c r="Q73" s="7">
        <f t="shared" si="1"/>
        <v>8010</v>
      </c>
    </row>
    <row r="74" spans="1:17">
      <c r="A74" t="s">
        <v>101</v>
      </c>
      <c r="B74">
        <v>11</v>
      </c>
      <c r="D74" t="s">
        <v>169</v>
      </c>
      <c r="E74" t="s">
        <v>170</v>
      </c>
      <c r="F74" t="s">
        <v>174</v>
      </c>
      <c r="H74" t="s">
        <v>106</v>
      </c>
      <c r="I74" t="s">
        <v>107</v>
      </c>
      <c r="J74" t="s">
        <v>172</v>
      </c>
      <c r="O74">
        <v>8000</v>
      </c>
      <c r="P74">
        <f t="shared" si="0"/>
        <v>8000</v>
      </c>
      <c r="Q74" s="7">
        <f t="shared" si="1"/>
        <v>8020</v>
      </c>
    </row>
    <row r="75" spans="1:17">
      <c r="A75" t="s">
        <v>101</v>
      </c>
      <c r="B75">
        <v>11</v>
      </c>
      <c r="D75" t="s">
        <v>169</v>
      </c>
      <c r="E75" t="s">
        <v>175</v>
      </c>
      <c r="F75" t="s">
        <v>176</v>
      </c>
      <c r="H75" t="s">
        <v>106</v>
      </c>
      <c r="I75" t="s">
        <v>107</v>
      </c>
      <c r="J75" t="s">
        <v>172</v>
      </c>
      <c r="O75">
        <v>8000</v>
      </c>
      <c r="P75">
        <f t="shared" si="0"/>
        <v>8100</v>
      </c>
      <c r="Q75" s="7">
        <f t="shared" si="1"/>
        <v>8100</v>
      </c>
    </row>
    <row r="76" spans="1:17">
      <c r="A76" t="s">
        <v>101</v>
      </c>
      <c r="B76">
        <v>11</v>
      </c>
      <c r="D76" t="s">
        <v>169</v>
      </c>
      <c r="E76" t="s">
        <v>175</v>
      </c>
      <c r="F76" t="s">
        <v>177</v>
      </c>
      <c r="H76" t="s">
        <v>106</v>
      </c>
      <c r="I76" t="s">
        <v>107</v>
      </c>
      <c r="J76" t="s">
        <v>172</v>
      </c>
      <c r="O76">
        <v>8000</v>
      </c>
      <c r="P76">
        <f t="shared" ref="P76:P82" si="2">+IF(O76=O75,IF(E76=E75,P75,P75+100),O76)</f>
        <v>8100</v>
      </c>
      <c r="Q76" s="7">
        <f t="shared" si="1"/>
        <v>8110</v>
      </c>
    </row>
    <row r="77" spans="1:17">
      <c r="A77" t="s">
        <v>101</v>
      </c>
      <c r="B77">
        <v>11</v>
      </c>
      <c r="D77" t="s">
        <v>169</v>
      </c>
      <c r="E77" t="s">
        <v>175</v>
      </c>
      <c r="F77" t="s">
        <v>178</v>
      </c>
      <c r="H77" t="s">
        <v>106</v>
      </c>
      <c r="I77" t="s">
        <v>107</v>
      </c>
      <c r="J77" t="s">
        <v>172</v>
      </c>
      <c r="O77">
        <v>8000</v>
      </c>
      <c r="P77">
        <f t="shared" si="2"/>
        <v>8100</v>
      </c>
      <c r="Q77" s="7">
        <f t="shared" si="1"/>
        <v>8120</v>
      </c>
    </row>
    <row r="78" spans="1:17">
      <c r="A78" t="s">
        <v>101</v>
      </c>
      <c r="B78">
        <v>12</v>
      </c>
      <c r="C78" t="s">
        <v>106</v>
      </c>
      <c r="D78" t="s">
        <v>179</v>
      </c>
      <c r="O78">
        <v>13000</v>
      </c>
      <c r="P78">
        <f t="shared" si="2"/>
        <v>13000</v>
      </c>
      <c r="Q78" s="7">
        <f t="shared" ref="Q78:Q82" si="3">+IF(P78=P77,IF(F78=F77,Q77,Q77+10),P78)</f>
        <v>13000</v>
      </c>
    </row>
    <row r="79" spans="1:17">
      <c r="A79" t="s">
        <v>101</v>
      </c>
      <c r="B79">
        <v>13</v>
      </c>
      <c r="D79" t="s">
        <v>180</v>
      </c>
      <c r="E79" t="s">
        <v>181</v>
      </c>
      <c r="F79" t="s">
        <v>181</v>
      </c>
      <c r="H79" t="s">
        <v>106</v>
      </c>
      <c r="O79">
        <v>8500</v>
      </c>
      <c r="P79">
        <f t="shared" si="2"/>
        <v>8500</v>
      </c>
      <c r="Q79" s="7">
        <f t="shared" si="3"/>
        <v>8500</v>
      </c>
    </row>
    <row r="80" spans="1:17">
      <c r="A80" t="s">
        <v>101</v>
      </c>
      <c r="B80">
        <v>14</v>
      </c>
      <c r="C80" t="s">
        <v>106</v>
      </c>
      <c r="D80" t="s">
        <v>182</v>
      </c>
      <c r="O80">
        <v>14000</v>
      </c>
      <c r="P80">
        <f t="shared" si="2"/>
        <v>14000</v>
      </c>
      <c r="Q80" s="7">
        <f t="shared" si="3"/>
        <v>14000</v>
      </c>
    </row>
    <row r="81" spans="1:17">
      <c r="A81" t="s">
        <v>101</v>
      </c>
      <c r="B81">
        <v>15</v>
      </c>
      <c r="D81" t="s">
        <v>183</v>
      </c>
      <c r="O81">
        <v>14500</v>
      </c>
      <c r="P81">
        <f t="shared" si="2"/>
        <v>14500</v>
      </c>
      <c r="Q81" s="7">
        <f t="shared" si="3"/>
        <v>14500</v>
      </c>
    </row>
    <row r="82" spans="1:17">
      <c r="A82" t="s">
        <v>101</v>
      </c>
      <c r="B82">
        <v>16</v>
      </c>
      <c r="C82" t="s">
        <v>106</v>
      </c>
      <c r="D82" t="s">
        <v>184</v>
      </c>
      <c r="O82">
        <v>15000</v>
      </c>
      <c r="P82">
        <f t="shared" si="2"/>
        <v>15000</v>
      </c>
      <c r="Q82" s="7">
        <f t="shared" si="3"/>
        <v>15000</v>
      </c>
    </row>
    <row r="83" spans="1:17">
      <c r="A83" t="s">
        <v>185</v>
      </c>
      <c r="B83">
        <v>20</v>
      </c>
      <c r="D83" t="s">
        <v>186</v>
      </c>
      <c r="E83" t="s">
        <v>187</v>
      </c>
      <c r="F83" t="s">
        <v>188</v>
      </c>
    </row>
    <row r="84" spans="1:17">
      <c r="A84" t="s">
        <v>185</v>
      </c>
      <c r="B84">
        <v>21</v>
      </c>
      <c r="D84" t="s">
        <v>186</v>
      </c>
      <c r="E84" t="s">
        <v>187</v>
      </c>
      <c r="F84" t="s">
        <v>186</v>
      </c>
      <c r="O84">
        <v>1100</v>
      </c>
      <c r="P84">
        <f t="shared" ref="P84:P143" si="4">+IF(O84=O83,IF(E84=E83,P83,P83+100),O84)</f>
        <v>1100</v>
      </c>
      <c r="Q84" s="7">
        <f t="shared" ref="Q84:Q143" si="5">+IF(P84=P83,IF(F84=F83,Q83,Q83+10),P84)</f>
        <v>1100</v>
      </c>
    </row>
    <row r="85" spans="1:17">
      <c r="A85" t="s">
        <v>185</v>
      </c>
      <c r="B85">
        <v>22</v>
      </c>
      <c r="D85" t="s">
        <v>186</v>
      </c>
      <c r="E85" t="s">
        <v>187</v>
      </c>
      <c r="F85" t="s">
        <v>189</v>
      </c>
      <c r="O85">
        <v>1100</v>
      </c>
      <c r="P85">
        <f t="shared" si="4"/>
        <v>1100</v>
      </c>
      <c r="Q85" s="7">
        <f t="shared" si="5"/>
        <v>1110</v>
      </c>
    </row>
    <row r="86" spans="1:17">
      <c r="A86" t="s">
        <v>185</v>
      </c>
      <c r="B86">
        <v>23</v>
      </c>
      <c r="D86" t="s">
        <v>186</v>
      </c>
      <c r="E86" t="s">
        <v>187</v>
      </c>
      <c r="F86" t="s">
        <v>190</v>
      </c>
      <c r="O86">
        <v>1100</v>
      </c>
      <c r="P86">
        <f t="shared" si="4"/>
        <v>1100</v>
      </c>
      <c r="Q86" s="7">
        <f t="shared" si="5"/>
        <v>1120</v>
      </c>
    </row>
    <row r="87" spans="1:17">
      <c r="A87" t="s">
        <v>185</v>
      </c>
      <c r="B87">
        <v>24</v>
      </c>
      <c r="D87" t="s">
        <v>186</v>
      </c>
      <c r="E87" t="s">
        <v>187</v>
      </c>
      <c r="F87" t="s">
        <v>191</v>
      </c>
      <c r="I87" t="s">
        <v>192</v>
      </c>
      <c r="M87" t="s">
        <v>106</v>
      </c>
      <c r="O87">
        <v>1100</v>
      </c>
      <c r="P87">
        <f t="shared" si="4"/>
        <v>1100</v>
      </c>
      <c r="Q87" s="7">
        <f t="shared" si="5"/>
        <v>1130</v>
      </c>
    </row>
    <row r="88" spans="1:17" ht="15.75" customHeight="1">
      <c r="A88" t="s">
        <v>185</v>
      </c>
      <c r="B88">
        <v>25</v>
      </c>
      <c r="C88" t="s">
        <v>106</v>
      </c>
      <c r="D88" t="s">
        <v>186</v>
      </c>
      <c r="E88" t="s">
        <v>187</v>
      </c>
      <c r="F88" t="s">
        <v>193</v>
      </c>
      <c r="I88" t="s">
        <v>192</v>
      </c>
      <c r="O88">
        <v>20000</v>
      </c>
      <c r="P88">
        <f t="shared" si="4"/>
        <v>20000</v>
      </c>
      <c r="Q88" s="7">
        <f t="shared" si="5"/>
        <v>20000</v>
      </c>
    </row>
    <row r="89" spans="1:17">
      <c r="A89" t="s">
        <v>185</v>
      </c>
      <c r="B89">
        <v>26</v>
      </c>
      <c r="D89" t="s">
        <v>186</v>
      </c>
      <c r="E89" t="s">
        <v>187</v>
      </c>
      <c r="F89" t="s">
        <v>194</v>
      </c>
      <c r="I89" t="s">
        <v>192</v>
      </c>
      <c r="M89" t="s">
        <v>106</v>
      </c>
      <c r="O89">
        <v>1200</v>
      </c>
      <c r="P89">
        <f t="shared" si="4"/>
        <v>1200</v>
      </c>
      <c r="Q89" s="7">
        <f t="shared" si="5"/>
        <v>1200</v>
      </c>
    </row>
    <row r="90" spans="1:17">
      <c r="A90" t="s">
        <v>185</v>
      </c>
      <c r="B90">
        <v>27</v>
      </c>
      <c r="D90" t="s">
        <v>186</v>
      </c>
      <c r="E90" t="s">
        <v>187</v>
      </c>
      <c r="F90" t="s">
        <v>195</v>
      </c>
      <c r="I90" t="s">
        <v>192</v>
      </c>
      <c r="M90" t="s">
        <v>106</v>
      </c>
      <c r="O90">
        <v>1200</v>
      </c>
      <c r="P90">
        <f t="shared" si="4"/>
        <v>1200</v>
      </c>
      <c r="Q90" s="7">
        <f t="shared" si="5"/>
        <v>1210</v>
      </c>
    </row>
    <row r="91" spans="1:17">
      <c r="A91" t="s">
        <v>185</v>
      </c>
      <c r="B91">
        <v>28</v>
      </c>
      <c r="D91" t="s">
        <v>186</v>
      </c>
      <c r="E91" t="s">
        <v>187</v>
      </c>
      <c r="F91" t="s">
        <v>196</v>
      </c>
      <c r="I91" t="s">
        <v>192</v>
      </c>
      <c r="M91" t="s">
        <v>106</v>
      </c>
      <c r="O91">
        <v>1200</v>
      </c>
      <c r="P91">
        <f t="shared" si="4"/>
        <v>1200</v>
      </c>
      <c r="Q91" s="7">
        <f t="shared" si="5"/>
        <v>1220</v>
      </c>
    </row>
    <row r="92" spans="1:17">
      <c r="A92" t="s">
        <v>185</v>
      </c>
      <c r="B92">
        <v>29</v>
      </c>
      <c r="D92" t="s">
        <v>186</v>
      </c>
      <c r="E92" t="s">
        <v>187</v>
      </c>
      <c r="F92" t="s">
        <v>197</v>
      </c>
      <c r="I92" t="s">
        <v>192</v>
      </c>
      <c r="M92" t="s">
        <v>106</v>
      </c>
      <c r="O92">
        <v>1200</v>
      </c>
      <c r="P92">
        <f t="shared" si="4"/>
        <v>1200</v>
      </c>
      <c r="Q92" s="7">
        <f t="shared" si="5"/>
        <v>1230</v>
      </c>
    </row>
    <row r="93" spans="1:17">
      <c r="A93" t="s">
        <v>185</v>
      </c>
      <c r="B93">
        <v>30</v>
      </c>
      <c r="C93" t="s">
        <v>106</v>
      </c>
      <c r="D93" t="s">
        <v>186</v>
      </c>
      <c r="E93" t="s">
        <v>187</v>
      </c>
      <c r="F93" t="s">
        <v>198</v>
      </c>
      <c r="I93" t="s">
        <v>192</v>
      </c>
      <c r="O93">
        <v>21000</v>
      </c>
      <c r="P93">
        <f t="shared" si="4"/>
        <v>21000</v>
      </c>
      <c r="Q93" s="7">
        <f t="shared" si="5"/>
        <v>21000</v>
      </c>
    </row>
    <row r="94" spans="1:17">
      <c r="A94" t="s">
        <v>185</v>
      </c>
      <c r="B94">
        <v>31</v>
      </c>
      <c r="D94" t="s">
        <v>186</v>
      </c>
      <c r="E94" t="s">
        <v>187</v>
      </c>
      <c r="F94" t="s">
        <v>199</v>
      </c>
      <c r="I94" t="s">
        <v>192</v>
      </c>
      <c r="M94" t="s">
        <v>106</v>
      </c>
      <c r="N94" t="s">
        <v>106</v>
      </c>
      <c r="O94">
        <v>1300</v>
      </c>
      <c r="P94">
        <f t="shared" si="4"/>
        <v>1300</v>
      </c>
      <c r="Q94" s="7">
        <f t="shared" si="5"/>
        <v>1300</v>
      </c>
    </row>
    <row r="95" spans="1:17">
      <c r="A95" t="s">
        <v>185</v>
      </c>
      <c r="B95">
        <v>32</v>
      </c>
      <c r="D95" t="s">
        <v>186</v>
      </c>
      <c r="E95" t="s">
        <v>187</v>
      </c>
      <c r="F95" t="s">
        <v>200</v>
      </c>
      <c r="I95" t="s">
        <v>192</v>
      </c>
      <c r="M95" t="s">
        <v>106</v>
      </c>
      <c r="O95">
        <v>1300</v>
      </c>
      <c r="P95">
        <f t="shared" si="4"/>
        <v>1300</v>
      </c>
      <c r="Q95" s="7">
        <f t="shared" si="5"/>
        <v>1310</v>
      </c>
    </row>
    <row r="96" spans="1:17">
      <c r="A96" t="s">
        <v>185</v>
      </c>
      <c r="B96">
        <v>33</v>
      </c>
      <c r="D96" t="s">
        <v>186</v>
      </c>
      <c r="E96" t="s">
        <v>187</v>
      </c>
      <c r="F96" t="s">
        <v>201</v>
      </c>
      <c r="I96" t="s">
        <v>192</v>
      </c>
      <c r="M96" t="s">
        <v>106</v>
      </c>
      <c r="N96" t="s">
        <v>106</v>
      </c>
      <c r="O96">
        <v>1300</v>
      </c>
      <c r="P96">
        <f t="shared" si="4"/>
        <v>1300</v>
      </c>
      <c r="Q96" s="7">
        <f t="shared" si="5"/>
        <v>1320</v>
      </c>
    </row>
    <row r="97" spans="1:17">
      <c r="A97" t="s">
        <v>185</v>
      </c>
      <c r="B97">
        <v>34</v>
      </c>
      <c r="D97" t="s">
        <v>186</v>
      </c>
      <c r="E97" t="s">
        <v>187</v>
      </c>
      <c r="F97" t="s">
        <v>202</v>
      </c>
      <c r="I97" t="s">
        <v>192</v>
      </c>
      <c r="O97">
        <v>1300</v>
      </c>
      <c r="P97">
        <f t="shared" si="4"/>
        <v>1300</v>
      </c>
      <c r="Q97" s="7">
        <f t="shared" si="5"/>
        <v>1330</v>
      </c>
    </row>
    <row r="98" spans="1:17">
      <c r="A98" t="s">
        <v>185</v>
      </c>
      <c r="B98">
        <v>35</v>
      </c>
      <c r="C98" t="s">
        <v>106</v>
      </c>
      <c r="D98" t="s">
        <v>186</v>
      </c>
      <c r="E98" t="s">
        <v>187</v>
      </c>
      <c r="F98" t="s">
        <v>203</v>
      </c>
      <c r="I98" t="s">
        <v>192</v>
      </c>
      <c r="O98">
        <v>22000</v>
      </c>
      <c r="P98">
        <f t="shared" si="4"/>
        <v>22000</v>
      </c>
      <c r="Q98" s="7">
        <f t="shared" si="5"/>
        <v>22000</v>
      </c>
    </row>
    <row r="99" spans="1:17">
      <c r="A99" t="s">
        <v>185</v>
      </c>
      <c r="B99">
        <v>36</v>
      </c>
      <c r="C99" t="s">
        <v>106</v>
      </c>
      <c r="D99" t="s">
        <v>186</v>
      </c>
      <c r="E99" t="s">
        <v>187</v>
      </c>
      <c r="F99" t="s">
        <v>204</v>
      </c>
      <c r="O99">
        <v>23000</v>
      </c>
      <c r="P99">
        <f t="shared" si="4"/>
        <v>23000</v>
      </c>
      <c r="Q99" s="7">
        <f t="shared" si="5"/>
        <v>23000</v>
      </c>
    </row>
    <row r="100" spans="1:17">
      <c r="A100" t="s">
        <v>185</v>
      </c>
      <c r="B100">
        <v>37</v>
      </c>
      <c r="D100" t="s">
        <v>186</v>
      </c>
      <c r="E100" t="s">
        <v>205</v>
      </c>
      <c r="F100" t="s">
        <v>206</v>
      </c>
      <c r="I100" t="s">
        <v>207</v>
      </c>
      <c r="J100" t="s">
        <v>208</v>
      </c>
      <c r="K100" t="s">
        <v>205</v>
      </c>
      <c r="L100" t="s">
        <v>106</v>
      </c>
      <c r="O100">
        <v>1400</v>
      </c>
      <c r="P100">
        <f t="shared" si="4"/>
        <v>1400</v>
      </c>
      <c r="Q100" s="7">
        <f t="shared" si="5"/>
        <v>1400</v>
      </c>
    </row>
    <row r="101" spans="1:17">
      <c r="A101" t="s">
        <v>185</v>
      </c>
      <c r="B101">
        <v>38</v>
      </c>
      <c r="D101" t="s">
        <v>186</v>
      </c>
      <c r="E101" t="s">
        <v>209</v>
      </c>
      <c r="F101" t="s">
        <v>210</v>
      </c>
      <c r="I101" t="s">
        <v>207</v>
      </c>
      <c r="J101" t="s">
        <v>208</v>
      </c>
      <c r="K101" t="s">
        <v>209</v>
      </c>
      <c r="L101" t="s">
        <v>106</v>
      </c>
      <c r="O101">
        <v>1500</v>
      </c>
      <c r="P101">
        <f t="shared" si="4"/>
        <v>1500</v>
      </c>
      <c r="Q101" s="7">
        <f t="shared" si="5"/>
        <v>1500</v>
      </c>
    </row>
    <row r="102" spans="1:17">
      <c r="A102" t="s">
        <v>185</v>
      </c>
      <c r="B102">
        <v>38.1</v>
      </c>
      <c r="D102" t="s">
        <v>186</v>
      </c>
      <c r="E102" t="s">
        <v>209</v>
      </c>
      <c r="F102" t="s">
        <v>211</v>
      </c>
      <c r="I102" t="s">
        <v>207</v>
      </c>
      <c r="J102" t="s">
        <v>208</v>
      </c>
      <c r="K102" t="s">
        <v>209</v>
      </c>
      <c r="L102" t="s">
        <v>106</v>
      </c>
      <c r="N102" t="s">
        <v>106</v>
      </c>
      <c r="O102">
        <v>1500</v>
      </c>
      <c r="P102">
        <f t="shared" si="4"/>
        <v>1500</v>
      </c>
      <c r="Q102" s="7">
        <f t="shared" si="5"/>
        <v>1510</v>
      </c>
    </row>
    <row r="103" spans="1:17">
      <c r="A103" t="s">
        <v>185</v>
      </c>
      <c r="B103">
        <v>39</v>
      </c>
      <c r="D103" t="s">
        <v>186</v>
      </c>
      <c r="E103" t="s">
        <v>209</v>
      </c>
      <c r="F103" t="s">
        <v>212</v>
      </c>
      <c r="I103" t="s">
        <v>207</v>
      </c>
      <c r="J103" t="s">
        <v>208</v>
      </c>
      <c r="K103" t="s">
        <v>209</v>
      </c>
      <c r="L103" t="s">
        <v>106</v>
      </c>
      <c r="O103">
        <v>1500</v>
      </c>
      <c r="P103">
        <f t="shared" si="4"/>
        <v>1500</v>
      </c>
      <c r="Q103" s="7">
        <f t="shared" si="5"/>
        <v>1520</v>
      </c>
    </row>
    <row r="104" spans="1:17">
      <c r="A104" t="s">
        <v>185</v>
      </c>
      <c r="B104">
        <v>39.1</v>
      </c>
      <c r="D104" t="s">
        <v>186</v>
      </c>
      <c r="E104" t="s">
        <v>213</v>
      </c>
      <c r="F104" t="s">
        <v>214</v>
      </c>
      <c r="I104" t="s">
        <v>207</v>
      </c>
      <c r="J104" t="s">
        <v>208</v>
      </c>
      <c r="K104" t="s">
        <v>112</v>
      </c>
      <c r="L104" t="s">
        <v>106</v>
      </c>
      <c r="O104">
        <v>1700</v>
      </c>
      <c r="P104">
        <v>1700</v>
      </c>
      <c r="Q104" s="7">
        <v>1760</v>
      </c>
    </row>
    <row r="105" spans="1:17">
      <c r="A105" t="s">
        <v>185</v>
      </c>
      <c r="B105">
        <v>40</v>
      </c>
      <c r="D105" t="s">
        <v>186</v>
      </c>
      <c r="E105" t="s">
        <v>213</v>
      </c>
      <c r="F105" t="s">
        <v>215</v>
      </c>
      <c r="I105" t="s">
        <v>207</v>
      </c>
      <c r="J105" t="s">
        <v>208</v>
      </c>
      <c r="K105" t="s">
        <v>112</v>
      </c>
      <c r="L105" t="s">
        <v>106</v>
      </c>
      <c r="O105">
        <v>1800</v>
      </c>
      <c r="P105">
        <f>+IF(O105=O103,IF(E105=E103,P103,P103+100),O105)</f>
        <v>1800</v>
      </c>
      <c r="Q105" s="7">
        <f>+IF(P105=P103,IF(F105=F103,Q103,Q103+10),P105)</f>
        <v>1800</v>
      </c>
    </row>
    <row r="106" spans="1:17">
      <c r="A106" t="s">
        <v>185</v>
      </c>
      <c r="B106">
        <v>41</v>
      </c>
      <c r="D106" t="s">
        <v>186</v>
      </c>
      <c r="E106" t="s">
        <v>216</v>
      </c>
      <c r="F106" t="s">
        <v>217</v>
      </c>
      <c r="I106" t="s">
        <v>218</v>
      </c>
      <c r="J106" t="s">
        <v>218</v>
      </c>
      <c r="K106" t="s">
        <v>218</v>
      </c>
      <c r="O106">
        <v>1900</v>
      </c>
      <c r="P106">
        <f t="shared" si="4"/>
        <v>1900</v>
      </c>
      <c r="Q106" s="7">
        <f t="shared" si="5"/>
        <v>1900</v>
      </c>
    </row>
    <row r="107" spans="1:17">
      <c r="A107" t="s">
        <v>185</v>
      </c>
      <c r="B107">
        <v>41.1</v>
      </c>
      <c r="D107" t="s">
        <v>186</v>
      </c>
      <c r="E107" t="s">
        <v>216</v>
      </c>
      <c r="F107" t="s">
        <v>219</v>
      </c>
      <c r="I107" t="s">
        <v>218</v>
      </c>
      <c r="J107" t="s">
        <v>218</v>
      </c>
      <c r="K107" t="s">
        <v>218</v>
      </c>
      <c r="O107">
        <v>1900</v>
      </c>
      <c r="P107">
        <f t="shared" si="4"/>
        <v>1900</v>
      </c>
      <c r="Q107" s="7">
        <f t="shared" si="5"/>
        <v>1910</v>
      </c>
    </row>
    <row r="108" spans="1:17">
      <c r="A108" t="s">
        <v>185</v>
      </c>
      <c r="B108">
        <v>42</v>
      </c>
      <c r="C108" t="s">
        <v>106</v>
      </c>
      <c r="D108" t="s">
        <v>186</v>
      </c>
      <c r="F108" t="s">
        <v>220</v>
      </c>
      <c r="I108" s="5" t="s">
        <v>103</v>
      </c>
      <c r="O108">
        <v>24000</v>
      </c>
      <c r="P108">
        <f t="shared" si="4"/>
        <v>24000</v>
      </c>
      <c r="Q108" s="7">
        <f t="shared" si="5"/>
        <v>24000</v>
      </c>
    </row>
    <row r="109" spans="1:17">
      <c r="A109" t="s">
        <v>185</v>
      </c>
      <c r="B109">
        <v>43</v>
      </c>
      <c r="C109" t="s">
        <v>106</v>
      </c>
      <c r="D109" t="s">
        <v>186</v>
      </c>
      <c r="F109" t="s">
        <v>221</v>
      </c>
      <c r="O109">
        <v>25000</v>
      </c>
      <c r="P109">
        <f t="shared" si="4"/>
        <v>25000</v>
      </c>
      <c r="Q109" s="7">
        <f t="shared" si="5"/>
        <v>25000</v>
      </c>
    </row>
    <row r="110" spans="1:17">
      <c r="A110" t="s">
        <v>185</v>
      </c>
      <c r="B110">
        <v>44</v>
      </c>
      <c r="F110" t="s">
        <v>222</v>
      </c>
      <c r="P110">
        <f t="shared" si="4"/>
        <v>0</v>
      </c>
      <c r="Q110" s="7">
        <f t="shared" si="5"/>
        <v>0</v>
      </c>
    </row>
    <row r="111" spans="1:17">
      <c r="A111" t="s">
        <v>185</v>
      </c>
      <c r="B111">
        <v>45</v>
      </c>
      <c r="D111" t="s">
        <v>223</v>
      </c>
      <c r="E111" t="s">
        <v>224</v>
      </c>
      <c r="F111" t="s">
        <v>225</v>
      </c>
      <c r="I111" t="s">
        <v>226</v>
      </c>
      <c r="J111" t="s">
        <v>224</v>
      </c>
      <c r="O111">
        <v>2000</v>
      </c>
      <c r="P111">
        <f t="shared" si="4"/>
        <v>2000</v>
      </c>
      <c r="Q111" s="7">
        <f t="shared" si="5"/>
        <v>2000</v>
      </c>
    </row>
    <row r="112" spans="1:17">
      <c r="A112" t="s">
        <v>185</v>
      </c>
      <c r="B112">
        <v>46</v>
      </c>
      <c r="D112" t="s">
        <v>223</v>
      </c>
      <c r="E112" t="s">
        <v>224</v>
      </c>
      <c r="F112" t="s">
        <v>227</v>
      </c>
      <c r="I112" t="s">
        <v>226</v>
      </c>
      <c r="J112" t="s">
        <v>224</v>
      </c>
      <c r="O112">
        <v>2000</v>
      </c>
      <c r="P112">
        <f t="shared" si="4"/>
        <v>2000</v>
      </c>
      <c r="Q112" s="7">
        <f t="shared" si="5"/>
        <v>2010</v>
      </c>
    </row>
    <row r="113" spans="1:17">
      <c r="A113" t="s">
        <v>185</v>
      </c>
      <c r="B113">
        <v>46.1</v>
      </c>
      <c r="D113" t="s">
        <v>223</v>
      </c>
      <c r="E113" t="s">
        <v>224</v>
      </c>
      <c r="F113" t="s">
        <v>228</v>
      </c>
      <c r="I113" t="s">
        <v>226</v>
      </c>
      <c r="J113" t="s">
        <v>224</v>
      </c>
      <c r="O113">
        <v>2000</v>
      </c>
      <c r="P113">
        <f t="shared" si="4"/>
        <v>2000</v>
      </c>
      <c r="Q113" s="7">
        <f t="shared" si="5"/>
        <v>2020</v>
      </c>
    </row>
    <row r="114" spans="1:17">
      <c r="A114" t="s">
        <v>185</v>
      </c>
      <c r="B114">
        <v>47</v>
      </c>
      <c r="D114" t="s">
        <v>223</v>
      </c>
      <c r="E114" t="s">
        <v>224</v>
      </c>
      <c r="F114" t="s">
        <v>229</v>
      </c>
      <c r="I114" t="s">
        <v>226</v>
      </c>
      <c r="J114" t="s">
        <v>224</v>
      </c>
      <c r="K114" t="s">
        <v>230</v>
      </c>
      <c r="O114">
        <v>2000</v>
      </c>
      <c r="P114">
        <f t="shared" si="4"/>
        <v>2000</v>
      </c>
      <c r="Q114" s="7">
        <f t="shared" si="5"/>
        <v>2030</v>
      </c>
    </row>
    <row r="115" spans="1:17">
      <c r="A115" t="s">
        <v>185</v>
      </c>
      <c r="B115">
        <v>48</v>
      </c>
      <c r="C115" t="s">
        <v>106</v>
      </c>
      <c r="D115" t="s">
        <v>223</v>
      </c>
      <c r="E115" t="s">
        <v>224</v>
      </c>
      <c r="F115" t="s">
        <v>231</v>
      </c>
      <c r="I115" t="s">
        <v>226</v>
      </c>
      <c r="J115" t="s">
        <v>224</v>
      </c>
      <c r="O115">
        <v>30000</v>
      </c>
      <c r="P115">
        <f t="shared" si="4"/>
        <v>30000</v>
      </c>
      <c r="Q115" s="7">
        <f t="shared" si="5"/>
        <v>30000</v>
      </c>
    </row>
    <row r="116" spans="1:17">
      <c r="A116" t="s">
        <v>185</v>
      </c>
      <c r="B116">
        <v>49</v>
      </c>
      <c r="D116" t="s">
        <v>223</v>
      </c>
      <c r="E116" t="s">
        <v>232</v>
      </c>
      <c r="F116" t="s">
        <v>233</v>
      </c>
      <c r="I116" t="s">
        <v>226</v>
      </c>
      <c r="J116" t="s">
        <v>224</v>
      </c>
      <c r="K116" t="s">
        <v>230</v>
      </c>
      <c r="O116">
        <v>2050</v>
      </c>
      <c r="P116">
        <f t="shared" si="4"/>
        <v>2050</v>
      </c>
      <c r="Q116" s="7">
        <f t="shared" si="5"/>
        <v>2050</v>
      </c>
    </row>
    <row r="117" spans="1:17">
      <c r="A117" t="s">
        <v>185</v>
      </c>
      <c r="B117">
        <v>50</v>
      </c>
      <c r="D117" t="s">
        <v>223</v>
      </c>
      <c r="E117" t="s">
        <v>232</v>
      </c>
      <c r="F117" t="s">
        <v>234</v>
      </c>
      <c r="I117" t="s">
        <v>226</v>
      </c>
      <c r="J117" t="s">
        <v>224</v>
      </c>
      <c r="O117">
        <v>2050</v>
      </c>
      <c r="P117">
        <f t="shared" si="4"/>
        <v>2050</v>
      </c>
      <c r="Q117" s="7">
        <f t="shared" si="5"/>
        <v>2060</v>
      </c>
    </row>
    <row r="118" spans="1:17">
      <c r="A118" t="s">
        <v>185</v>
      </c>
      <c r="B118">
        <v>51</v>
      </c>
      <c r="D118" t="s">
        <v>223</v>
      </c>
      <c r="E118" t="s">
        <v>232</v>
      </c>
      <c r="F118" t="s">
        <v>235</v>
      </c>
      <c r="I118" t="s">
        <v>226</v>
      </c>
      <c r="J118" t="s">
        <v>236</v>
      </c>
      <c r="O118">
        <v>2050</v>
      </c>
      <c r="P118">
        <f t="shared" si="4"/>
        <v>2050</v>
      </c>
      <c r="Q118" s="7">
        <f t="shared" si="5"/>
        <v>2070</v>
      </c>
    </row>
    <row r="119" spans="1:17">
      <c r="A119" t="s">
        <v>185</v>
      </c>
      <c r="B119">
        <v>52</v>
      </c>
      <c r="D119" t="s">
        <v>223</v>
      </c>
      <c r="E119" t="s">
        <v>232</v>
      </c>
      <c r="F119" t="s">
        <v>237</v>
      </c>
      <c r="I119" t="s">
        <v>226</v>
      </c>
      <c r="J119" t="s">
        <v>112</v>
      </c>
      <c r="O119">
        <v>2050</v>
      </c>
      <c r="P119">
        <f t="shared" si="4"/>
        <v>2050</v>
      </c>
      <c r="Q119" s="7">
        <f t="shared" si="5"/>
        <v>2080</v>
      </c>
    </row>
    <row r="120" spans="1:17">
      <c r="A120" t="s">
        <v>185</v>
      </c>
      <c r="B120">
        <v>53</v>
      </c>
      <c r="D120" t="s">
        <v>223</v>
      </c>
      <c r="E120" t="s">
        <v>232</v>
      </c>
      <c r="F120" t="s">
        <v>238</v>
      </c>
      <c r="O120">
        <v>2050</v>
      </c>
      <c r="P120">
        <f t="shared" si="4"/>
        <v>2050</v>
      </c>
      <c r="Q120" s="7">
        <f t="shared" si="5"/>
        <v>2090</v>
      </c>
    </row>
    <row r="121" spans="1:17">
      <c r="A121" t="s">
        <v>185</v>
      </c>
      <c r="B121">
        <v>54</v>
      </c>
      <c r="C121" t="s">
        <v>106</v>
      </c>
      <c r="D121" t="s">
        <v>223</v>
      </c>
      <c r="E121" t="s">
        <v>232</v>
      </c>
      <c r="F121" t="s">
        <v>239</v>
      </c>
      <c r="O121">
        <v>31000</v>
      </c>
      <c r="P121">
        <f t="shared" si="4"/>
        <v>31000</v>
      </c>
      <c r="Q121" s="7">
        <f t="shared" si="5"/>
        <v>31000</v>
      </c>
    </row>
    <row r="122" spans="1:17">
      <c r="A122" t="s">
        <v>185</v>
      </c>
      <c r="B122">
        <v>55</v>
      </c>
      <c r="D122" t="s">
        <v>223</v>
      </c>
      <c r="E122" t="s">
        <v>232</v>
      </c>
      <c r="F122" t="s">
        <v>240</v>
      </c>
      <c r="I122" t="s">
        <v>226</v>
      </c>
      <c r="O122">
        <v>2050</v>
      </c>
      <c r="P122">
        <f t="shared" si="4"/>
        <v>2050</v>
      </c>
      <c r="Q122" s="7">
        <f t="shared" si="5"/>
        <v>2050</v>
      </c>
    </row>
    <row r="123" spans="1:17">
      <c r="A123" t="s">
        <v>185</v>
      </c>
      <c r="B123">
        <v>56</v>
      </c>
      <c r="C123" t="s">
        <v>106</v>
      </c>
      <c r="D123" t="s">
        <v>223</v>
      </c>
      <c r="E123" t="s">
        <v>232</v>
      </c>
      <c r="F123" t="s">
        <v>241</v>
      </c>
      <c r="O123">
        <v>32000</v>
      </c>
      <c r="P123">
        <f t="shared" si="4"/>
        <v>32000</v>
      </c>
      <c r="Q123" s="7">
        <f t="shared" si="5"/>
        <v>32000</v>
      </c>
    </row>
    <row r="124" spans="1:17">
      <c r="A124" t="s">
        <v>185</v>
      </c>
      <c r="B124">
        <v>57</v>
      </c>
      <c r="D124" t="s">
        <v>242</v>
      </c>
      <c r="E124" t="s">
        <v>181</v>
      </c>
      <c r="F124" t="s">
        <v>243</v>
      </c>
      <c r="O124">
        <v>2100</v>
      </c>
      <c r="P124">
        <f t="shared" si="4"/>
        <v>2100</v>
      </c>
      <c r="Q124" s="7">
        <f t="shared" si="5"/>
        <v>2100</v>
      </c>
    </row>
    <row r="125" spans="1:17">
      <c r="A125" t="s">
        <v>185</v>
      </c>
      <c r="B125">
        <v>58</v>
      </c>
      <c r="D125" t="s">
        <v>242</v>
      </c>
      <c r="E125" t="s">
        <v>181</v>
      </c>
      <c r="F125" t="s">
        <v>244</v>
      </c>
      <c r="O125">
        <v>2100</v>
      </c>
      <c r="P125">
        <f t="shared" si="4"/>
        <v>2100</v>
      </c>
      <c r="Q125" s="7">
        <f t="shared" si="5"/>
        <v>2110</v>
      </c>
    </row>
    <row r="126" spans="1:17">
      <c r="A126" t="s">
        <v>185</v>
      </c>
      <c r="B126">
        <v>59</v>
      </c>
      <c r="D126" t="s">
        <v>242</v>
      </c>
      <c r="E126" t="s">
        <v>181</v>
      </c>
      <c r="F126" t="s">
        <v>245</v>
      </c>
      <c r="O126">
        <v>2100</v>
      </c>
      <c r="P126">
        <f t="shared" si="4"/>
        <v>2100</v>
      </c>
      <c r="Q126" s="7">
        <f t="shared" si="5"/>
        <v>2120</v>
      </c>
    </row>
    <row r="127" spans="1:17">
      <c r="A127" t="s">
        <v>185</v>
      </c>
      <c r="B127">
        <v>60</v>
      </c>
      <c r="C127" t="s">
        <v>106</v>
      </c>
      <c r="D127" t="s">
        <v>242</v>
      </c>
      <c r="F127" t="s">
        <v>246</v>
      </c>
      <c r="O127">
        <v>33000</v>
      </c>
      <c r="P127">
        <f t="shared" si="4"/>
        <v>33000</v>
      </c>
      <c r="Q127" s="7">
        <f t="shared" si="5"/>
        <v>33000</v>
      </c>
    </row>
    <row r="128" spans="1:17">
      <c r="A128" t="s">
        <v>185</v>
      </c>
      <c r="B128">
        <v>61</v>
      </c>
      <c r="C128" t="s">
        <v>106</v>
      </c>
      <c r="D128" t="s">
        <v>242</v>
      </c>
      <c r="F128" t="s">
        <v>247</v>
      </c>
      <c r="O128">
        <v>34000</v>
      </c>
      <c r="P128">
        <f t="shared" si="4"/>
        <v>34000</v>
      </c>
      <c r="Q128" s="7">
        <f t="shared" si="5"/>
        <v>34000</v>
      </c>
    </row>
    <row r="129" spans="1:17">
      <c r="A129" t="s">
        <v>185</v>
      </c>
      <c r="B129">
        <v>62</v>
      </c>
      <c r="D129" t="s">
        <v>242</v>
      </c>
      <c r="E129" t="s">
        <v>248</v>
      </c>
      <c r="F129" t="s">
        <v>249</v>
      </c>
      <c r="I129" t="s">
        <v>226</v>
      </c>
      <c r="J129" t="s">
        <v>248</v>
      </c>
      <c r="K129" t="s">
        <v>250</v>
      </c>
      <c r="O129">
        <v>2200</v>
      </c>
      <c r="P129">
        <f t="shared" si="4"/>
        <v>2200</v>
      </c>
      <c r="Q129" s="7">
        <f t="shared" si="5"/>
        <v>2200</v>
      </c>
    </row>
    <row r="130" spans="1:17">
      <c r="A130" t="s">
        <v>185</v>
      </c>
      <c r="B130">
        <v>63</v>
      </c>
      <c r="D130" t="s">
        <v>242</v>
      </c>
      <c r="E130" t="s">
        <v>248</v>
      </c>
      <c r="F130" t="s">
        <v>201</v>
      </c>
      <c r="I130" t="s">
        <v>226</v>
      </c>
      <c r="J130" t="s">
        <v>248</v>
      </c>
      <c r="K130" t="s">
        <v>251</v>
      </c>
      <c r="N130" t="s">
        <v>106</v>
      </c>
      <c r="O130">
        <v>2200</v>
      </c>
      <c r="P130">
        <f t="shared" si="4"/>
        <v>2200</v>
      </c>
      <c r="Q130" s="7">
        <f t="shared" si="5"/>
        <v>2210</v>
      </c>
    </row>
    <row r="131" spans="1:17">
      <c r="A131" t="s">
        <v>185</v>
      </c>
      <c r="B131">
        <v>64</v>
      </c>
      <c r="D131" t="s">
        <v>242</v>
      </c>
      <c r="E131" t="s">
        <v>248</v>
      </c>
      <c r="F131" t="s">
        <v>252</v>
      </c>
      <c r="I131" t="s">
        <v>226</v>
      </c>
      <c r="J131" t="s">
        <v>248</v>
      </c>
      <c r="K131" t="s">
        <v>112</v>
      </c>
      <c r="O131">
        <v>2200</v>
      </c>
      <c r="P131">
        <f t="shared" si="4"/>
        <v>2200</v>
      </c>
      <c r="Q131" s="7">
        <f t="shared" si="5"/>
        <v>2220</v>
      </c>
    </row>
    <row r="132" spans="1:17">
      <c r="A132" t="s">
        <v>185</v>
      </c>
      <c r="B132">
        <v>65</v>
      </c>
      <c r="C132" t="s">
        <v>106</v>
      </c>
      <c r="D132" t="s">
        <v>242</v>
      </c>
      <c r="F132" t="s">
        <v>253</v>
      </c>
      <c r="O132">
        <v>35000</v>
      </c>
      <c r="P132">
        <f t="shared" si="4"/>
        <v>35000</v>
      </c>
      <c r="Q132" s="7">
        <f t="shared" si="5"/>
        <v>35000</v>
      </c>
    </row>
    <row r="133" spans="1:17">
      <c r="A133" t="s">
        <v>185</v>
      </c>
      <c r="B133">
        <v>66</v>
      </c>
      <c r="D133" t="s">
        <v>242</v>
      </c>
      <c r="E133" t="s">
        <v>254</v>
      </c>
      <c r="F133" t="s">
        <v>255</v>
      </c>
      <c r="I133" t="s">
        <v>207</v>
      </c>
      <c r="J133" t="s">
        <v>208</v>
      </c>
      <c r="K133" t="s">
        <v>256</v>
      </c>
      <c r="L133" t="s">
        <v>106</v>
      </c>
      <c r="O133">
        <v>2400</v>
      </c>
      <c r="P133">
        <f t="shared" si="4"/>
        <v>2400</v>
      </c>
      <c r="Q133" s="7">
        <f t="shared" si="5"/>
        <v>2400</v>
      </c>
    </row>
    <row r="134" spans="1:17">
      <c r="A134" t="s">
        <v>185</v>
      </c>
      <c r="B134">
        <f>+B133+1</f>
        <v>67</v>
      </c>
      <c r="D134" t="s">
        <v>242</v>
      </c>
      <c r="E134" t="s">
        <v>254</v>
      </c>
      <c r="F134" t="s">
        <v>257</v>
      </c>
      <c r="I134" t="s">
        <v>207</v>
      </c>
      <c r="J134" t="s">
        <v>208</v>
      </c>
      <c r="L134" t="s">
        <v>106</v>
      </c>
      <c r="O134">
        <v>2500</v>
      </c>
      <c r="P134">
        <f t="shared" si="4"/>
        <v>2500</v>
      </c>
      <c r="Q134" s="7">
        <f t="shared" si="5"/>
        <v>2500</v>
      </c>
    </row>
    <row r="135" spans="1:17">
      <c r="A135" t="s">
        <v>185</v>
      </c>
      <c r="B135">
        <f t="shared" ref="B135:B143" si="6">+B134+1</f>
        <v>68</v>
      </c>
      <c r="D135" t="s">
        <v>242</v>
      </c>
      <c r="E135" t="s">
        <v>254</v>
      </c>
      <c r="F135" t="s">
        <v>258</v>
      </c>
      <c r="I135" t="s">
        <v>207</v>
      </c>
      <c r="J135" t="s">
        <v>208</v>
      </c>
      <c r="K135" t="s">
        <v>112</v>
      </c>
      <c r="L135" t="s">
        <v>106</v>
      </c>
      <c r="O135">
        <v>2500</v>
      </c>
      <c r="P135">
        <f t="shared" si="4"/>
        <v>2500</v>
      </c>
      <c r="Q135" s="7">
        <f t="shared" si="5"/>
        <v>2510</v>
      </c>
    </row>
    <row r="136" spans="1:17">
      <c r="A136" t="s">
        <v>185</v>
      </c>
      <c r="B136">
        <f t="shared" si="6"/>
        <v>69</v>
      </c>
      <c r="D136" t="s">
        <v>242</v>
      </c>
      <c r="E136" t="s">
        <v>254</v>
      </c>
      <c r="F136" t="s">
        <v>259</v>
      </c>
      <c r="I136" t="s">
        <v>207</v>
      </c>
      <c r="J136" t="s">
        <v>208</v>
      </c>
      <c r="K136" t="s">
        <v>260</v>
      </c>
      <c r="L136" t="s">
        <v>106</v>
      </c>
      <c r="O136">
        <v>2450</v>
      </c>
      <c r="P136">
        <f t="shared" si="4"/>
        <v>2450</v>
      </c>
      <c r="Q136" s="7">
        <f t="shared" si="5"/>
        <v>2450</v>
      </c>
    </row>
    <row r="137" spans="1:17">
      <c r="A137" t="s">
        <v>185</v>
      </c>
      <c r="B137">
        <v>69.099999999999994</v>
      </c>
      <c r="D137" t="s">
        <v>242</v>
      </c>
      <c r="E137" t="s">
        <v>254</v>
      </c>
      <c r="F137" t="s">
        <v>261</v>
      </c>
      <c r="I137" t="s">
        <v>207</v>
      </c>
      <c r="J137" t="s">
        <v>208</v>
      </c>
      <c r="K137" t="s">
        <v>260</v>
      </c>
      <c r="L137" t="s">
        <v>106</v>
      </c>
      <c r="N137" t="s">
        <v>106</v>
      </c>
      <c r="O137">
        <v>2450</v>
      </c>
      <c r="P137">
        <f>+IF(O137=O136,IF(E137=E136,P136,P136+100),O137)</f>
        <v>2450</v>
      </c>
      <c r="Q137" s="7">
        <f>+IF(P137=P136,IF(F137=F136,Q136,Q136+10),P137)</f>
        <v>2460</v>
      </c>
    </row>
    <row r="138" spans="1:17">
      <c r="A138" t="s">
        <v>185</v>
      </c>
      <c r="B138">
        <v>69.5</v>
      </c>
      <c r="D138" t="s">
        <v>242</v>
      </c>
      <c r="E138" t="s">
        <v>254</v>
      </c>
      <c r="F138" t="s">
        <v>262</v>
      </c>
      <c r="I138" t="s">
        <v>207</v>
      </c>
      <c r="J138" t="s">
        <v>208</v>
      </c>
      <c r="K138" t="s">
        <v>260</v>
      </c>
      <c r="L138" t="s">
        <v>106</v>
      </c>
      <c r="O138">
        <v>2600</v>
      </c>
      <c r="P138">
        <f>+IF(O138=O137,IF(E138=E137,P137,P137+100),O138)</f>
        <v>2600</v>
      </c>
      <c r="Q138" s="7">
        <f t="shared" ref="Q138:Q140" si="7">+IF(P138=P137,IF(F138=F137,Q137,Q137+10),P138)</f>
        <v>2600</v>
      </c>
    </row>
    <row r="139" spans="1:17">
      <c r="A139" t="s">
        <v>185</v>
      </c>
      <c r="B139">
        <f>+B136+1</f>
        <v>70</v>
      </c>
      <c r="D139" t="s">
        <v>242</v>
      </c>
      <c r="E139" t="s">
        <v>254</v>
      </c>
      <c r="F139" t="s">
        <v>263</v>
      </c>
      <c r="I139" t="s">
        <v>207</v>
      </c>
      <c r="J139" t="s">
        <v>208</v>
      </c>
      <c r="K139" t="s">
        <v>264</v>
      </c>
      <c r="L139" t="s">
        <v>106</v>
      </c>
      <c r="O139">
        <v>2800</v>
      </c>
      <c r="P139">
        <f>+IF(O139=O138,IF(E139=E138,P138,P138+100),O139)</f>
        <v>2800</v>
      </c>
      <c r="Q139" s="7">
        <f t="shared" si="7"/>
        <v>2800</v>
      </c>
    </row>
    <row r="140" spans="1:17">
      <c r="A140" t="s">
        <v>185</v>
      </c>
      <c r="B140">
        <f t="shared" si="6"/>
        <v>71</v>
      </c>
      <c r="D140" t="s">
        <v>242</v>
      </c>
      <c r="E140" t="s">
        <v>254</v>
      </c>
      <c r="F140" t="s">
        <v>265</v>
      </c>
      <c r="I140" t="s">
        <v>207</v>
      </c>
      <c r="J140" t="s">
        <v>208</v>
      </c>
      <c r="K140" t="s">
        <v>112</v>
      </c>
      <c r="L140" t="s">
        <v>106</v>
      </c>
      <c r="O140">
        <v>2900</v>
      </c>
      <c r="P140">
        <f t="shared" si="4"/>
        <v>2900</v>
      </c>
      <c r="Q140" s="7">
        <f t="shared" si="7"/>
        <v>2900</v>
      </c>
    </row>
    <row r="141" spans="1:17">
      <c r="A141" t="s">
        <v>185</v>
      </c>
      <c r="B141">
        <f t="shared" si="6"/>
        <v>72</v>
      </c>
      <c r="C141" t="s">
        <v>106</v>
      </c>
      <c r="D141" t="s">
        <v>242</v>
      </c>
      <c r="F141" t="s">
        <v>266</v>
      </c>
      <c r="O141">
        <v>36000</v>
      </c>
      <c r="P141">
        <f t="shared" si="4"/>
        <v>36000</v>
      </c>
      <c r="Q141" s="7">
        <f t="shared" si="5"/>
        <v>36000</v>
      </c>
    </row>
    <row r="142" spans="1:17">
      <c r="A142" t="s">
        <v>185</v>
      </c>
      <c r="B142">
        <f t="shared" si="6"/>
        <v>73</v>
      </c>
      <c r="C142" t="s">
        <v>106</v>
      </c>
      <c r="D142" t="s">
        <v>242</v>
      </c>
      <c r="F142" t="s">
        <v>267</v>
      </c>
      <c r="O142">
        <v>37000</v>
      </c>
      <c r="P142">
        <f t="shared" si="4"/>
        <v>37000</v>
      </c>
      <c r="Q142" s="7">
        <f t="shared" si="5"/>
        <v>37000</v>
      </c>
    </row>
    <row r="143" spans="1:17">
      <c r="A143" t="s">
        <v>185</v>
      </c>
      <c r="B143">
        <f t="shared" si="6"/>
        <v>74</v>
      </c>
      <c r="C143" t="s">
        <v>106</v>
      </c>
      <c r="D143" t="s">
        <v>242</v>
      </c>
      <c r="F143" t="s">
        <v>268</v>
      </c>
      <c r="O143">
        <v>38000</v>
      </c>
      <c r="P143">
        <f t="shared" si="4"/>
        <v>38000</v>
      </c>
      <c r="Q143" s="7">
        <f t="shared" si="5"/>
        <v>38000</v>
      </c>
    </row>
    <row r="144" spans="1:17">
      <c r="F144">
        <v>4</v>
      </c>
      <c r="P144">
        <v>2900</v>
      </c>
      <c r="Q144" s="7">
        <v>2899</v>
      </c>
    </row>
    <row r="145" spans="6:17">
      <c r="F145">
        <v>4</v>
      </c>
      <c r="P145">
        <v>2900</v>
      </c>
      <c r="Q145" s="7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Sigmund Hagehaugen</dc:creator>
  <cp:keywords/>
  <dc:description/>
  <cp:lastModifiedBy>Ima Fernandes Da Costa</cp:lastModifiedBy>
  <cp:revision/>
  <dcterms:created xsi:type="dcterms:W3CDTF">2026-02-27T09:48:10Z</dcterms:created>
  <dcterms:modified xsi:type="dcterms:W3CDTF">2026-03-24T12:36:41Z</dcterms:modified>
  <cp:category/>
  <cp:contentStatus/>
</cp:coreProperties>
</file>